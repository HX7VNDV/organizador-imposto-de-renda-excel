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ADED095-2DDD-46E8-A0D2-910D6FC5ED0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ÍCIO" sheetId="1" r:id="rId1"/>
    <sheet name="DADOS_PESSOAIS" sheetId="2" r:id="rId2"/>
    <sheet name="INFORMES" sheetId="3" r:id="rId3"/>
    <sheet name="RENDIMENTOS" sheetId="4" r:id="rId4"/>
    <sheet name="BENS_DIREITOS" sheetId="5" r:id="rId5"/>
    <sheet name="PAGAMENTOS" sheetId="6" r:id="rId6"/>
    <sheet name="RESUMO" sheetId="7" r:id="rId7"/>
    <sheet name="LISTAS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7" l="1"/>
  <c r="B34" i="7"/>
  <c r="E33" i="7"/>
  <c r="B33" i="7"/>
  <c r="E32" i="7"/>
  <c r="B32" i="7"/>
  <c r="E31" i="7"/>
  <c r="B31" i="7"/>
  <c r="E30" i="7"/>
  <c r="B30" i="7"/>
  <c r="E29" i="7"/>
  <c r="B29" i="7"/>
  <c r="E28" i="7"/>
  <c r="B28" i="7"/>
  <c r="E27" i="7"/>
  <c r="B27" i="7"/>
  <c r="B22" i="7"/>
  <c r="B21" i="7"/>
  <c r="B20" i="7"/>
  <c r="E19" i="7"/>
  <c r="B19" i="7"/>
  <c r="I11" i="7"/>
  <c r="E11" i="7"/>
  <c r="A11" i="7"/>
  <c r="I7" i="7"/>
  <c r="E7" i="7"/>
  <c r="A7" i="7"/>
  <c r="A5" i="7"/>
  <c r="B8" i="6"/>
  <c r="A5" i="6"/>
  <c r="B8" i="5"/>
  <c r="C8" i="5" s="1"/>
  <c r="A8" i="5"/>
  <c r="A5" i="5"/>
  <c r="E8" i="4"/>
  <c r="B8" i="4"/>
  <c r="A5" i="4"/>
  <c r="E8" i="3"/>
  <c r="B8" i="3"/>
  <c r="A5" i="3"/>
  <c r="A5" i="2"/>
  <c r="B22" i="1"/>
  <c r="B21" i="1"/>
  <c r="B20" i="1"/>
  <c r="F19" i="1"/>
  <c r="B19" i="1"/>
  <c r="I11" i="1"/>
  <c r="E11" i="1"/>
  <c r="A11" i="1"/>
  <c r="I7" i="1"/>
  <c r="E7" i="1"/>
  <c r="A7" i="1"/>
</calcChain>
</file>

<file path=xl/sharedStrings.xml><?xml version="1.0" encoding="utf-8"?>
<sst xmlns="http://schemas.openxmlformats.org/spreadsheetml/2006/main" count="188" uniqueCount="147">
  <si>
    <t>ORGANIZADOR PARA DECLARAÇÃO DE IMPOSTO DE RENDA</t>
  </si>
  <si>
    <t>Centralize e organize as informações necessárias para sua declaração.</t>
  </si>
  <si>
    <t>MENU PRINCIPAL</t>
  </si>
  <si>
    <t>STATUS DO PREENCHIMENTO</t>
  </si>
  <si>
    <t>Indicador</t>
  </si>
  <si>
    <t>Status / Quantidade</t>
  </si>
  <si>
    <t>Pagamentos cadastrados</t>
  </si>
  <si>
    <t>Dados pessoais preenchidos</t>
  </si>
  <si>
    <t>Informes cadastrados</t>
  </si>
  <si>
    <t>Rendimentos cadastrados</t>
  </si>
  <si>
    <t>Bens cadastrados</t>
  </si>
  <si>
    <t>DADOS PESSOAIS</t>
  </si>
  <si>
    <t>Cadastre os dados básicos do titular.</t>
  </si>
  <si>
    <t>Nome completo</t>
  </si>
  <si>
    <t>CPF</t>
  </si>
  <si>
    <t>Data de nascimento</t>
  </si>
  <si>
    <t>Título de eleitor</t>
  </si>
  <si>
    <t>Telefone</t>
  </si>
  <si>
    <t>E mail</t>
  </si>
  <si>
    <t>CEP</t>
  </si>
  <si>
    <t>Endereço</t>
  </si>
  <si>
    <t>Número</t>
  </si>
  <si>
    <t>Complemento</t>
  </si>
  <si>
    <t>Bairro</t>
  </si>
  <si>
    <t>Cidade</t>
  </si>
  <si>
    <t>UF</t>
  </si>
  <si>
    <t>Ocupação principal</t>
  </si>
  <si>
    <t>Natureza da ocupação</t>
  </si>
  <si>
    <t>Estado civil</t>
  </si>
  <si>
    <t>Possui cônjuge?</t>
  </si>
  <si>
    <t>CPF do cônjuge</t>
  </si>
  <si>
    <t>INFORMES DE RENDIMENTOS</t>
  </si>
  <si>
    <t>Controle os documentos recebidos de instituições e fontes pagadoras.</t>
  </si>
  <si>
    <t>Valor</t>
  </si>
  <si>
    <t>Quantidade de informes</t>
  </si>
  <si>
    <t>Valor total informado</t>
  </si>
  <si>
    <t>Instituição</t>
  </si>
  <si>
    <t>CNPJ</t>
  </si>
  <si>
    <t>Tipo de informe</t>
  </si>
  <si>
    <t>Ano calendário</t>
  </si>
  <si>
    <t>Valor informado</t>
  </si>
  <si>
    <t>Arquivo recebido?</t>
  </si>
  <si>
    <t>Observações</t>
  </si>
  <si>
    <t>RENDIMENTOS</t>
  </si>
  <si>
    <t>Organize rendimentos e retenções por fonte pagadora.</t>
  </si>
  <si>
    <t>Total de rendimentos</t>
  </si>
  <si>
    <t>Total de imposto retido</t>
  </si>
  <si>
    <t>Fonte pagadora</t>
  </si>
  <si>
    <t>CPF ou CNPJ</t>
  </si>
  <si>
    <t>Categoria</t>
  </si>
  <si>
    <t>Descrição</t>
  </si>
  <si>
    <t>Imposto retido</t>
  </si>
  <si>
    <t>BENS E DIREITOS</t>
  </si>
  <si>
    <t>Acompanhe a posição patrimonial entre os anos.</t>
  </si>
  <si>
    <t>Patrimônio ano anterior</t>
  </si>
  <si>
    <t>Patrimônio ano atual</t>
  </si>
  <si>
    <t>Variação patrimonial</t>
  </si>
  <si>
    <t>Descrição do bem</t>
  </si>
  <si>
    <t>CPF ou CNPJ relacionado</t>
  </si>
  <si>
    <t>Situação em 31/12 ano anterior</t>
  </si>
  <si>
    <t>Situação em 31/12 ano atual</t>
  </si>
  <si>
    <t>Banco ou instituição</t>
  </si>
  <si>
    <t>PAGAMENTOS</t>
  </si>
  <si>
    <t>Registre despesas e pagamentos relevantes para conferência.</t>
  </si>
  <si>
    <t>Total de pagamentos</t>
  </si>
  <si>
    <t>Tipo</t>
  </si>
  <si>
    <t>Beneficiário</t>
  </si>
  <si>
    <t>Valor pago</t>
  </si>
  <si>
    <t>Possui comprovante?</t>
  </si>
  <si>
    <t>RESUMO DA DECLARAÇÃO</t>
  </si>
  <si>
    <t>Visão consolidada dos dados cadastrados.</t>
  </si>
  <si>
    <t>CHECKLIST DA DECLARAÇÃO</t>
  </si>
  <si>
    <t>Área</t>
  </si>
  <si>
    <t>Status</t>
  </si>
  <si>
    <t>Dados pessoais</t>
  </si>
  <si>
    <t>Pagamentos</t>
  </si>
  <si>
    <t>Informes</t>
  </si>
  <si>
    <t>Rendimentos</t>
  </si>
  <si>
    <t>Bens e Direitos</t>
  </si>
  <si>
    <t>Total</t>
  </si>
  <si>
    <t>Patrimônio</t>
  </si>
  <si>
    <t>Salário</t>
  </si>
  <si>
    <t>Imóvel</t>
  </si>
  <si>
    <t>Pró labore</t>
  </si>
  <si>
    <t>Veículo</t>
  </si>
  <si>
    <t>Aposentadoria</t>
  </si>
  <si>
    <t>Conta bancária</t>
  </si>
  <si>
    <t>Aluguel</t>
  </si>
  <si>
    <t>Investimento</t>
  </si>
  <si>
    <t>Rendimento financeiro</t>
  </si>
  <si>
    <t>Participação societária</t>
  </si>
  <si>
    <t>Dividendos</t>
  </si>
  <si>
    <t>Criptoativo</t>
  </si>
  <si>
    <t>Juros sobre capital</t>
  </si>
  <si>
    <t>Outros</t>
  </si>
  <si>
    <t>Rendimento isento</t>
  </si>
  <si>
    <t>Estado Civil</t>
  </si>
  <si>
    <t>SimNão</t>
  </si>
  <si>
    <t>Tipo Informe</t>
  </si>
  <si>
    <t>Categoria Rendimento</t>
  </si>
  <si>
    <t>Categoria Bem</t>
  </si>
  <si>
    <t>Tipo Pagamento</t>
  </si>
  <si>
    <t>AC</t>
  </si>
  <si>
    <t>Solteiro(a)</t>
  </si>
  <si>
    <t>Sim</t>
  </si>
  <si>
    <t>Banco</t>
  </si>
  <si>
    <t>Saúde</t>
  </si>
  <si>
    <t>AL</t>
  </si>
  <si>
    <t>Casado(a)</t>
  </si>
  <si>
    <t>Não</t>
  </si>
  <si>
    <t>Corretora</t>
  </si>
  <si>
    <t>Educação</t>
  </si>
  <si>
    <t>AP</t>
  </si>
  <si>
    <t>Divorciado(a)</t>
  </si>
  <si>
    <t>Empregador</t>
  </si>
  <si>
    <t>Previdência</t>
  </si>
  <si>
    <t>AM</t>
  </si>
  <si>
    <t>Viúvo(a)</t>
  </si>
  <si>
    <t>Pensão alimentícia</t>
  </si>
  <si>
    <t>BA</t>
  </si>
  <si>
    <t>União estável</t>
  </si>
  <si>
    <t>Plano de saúde</t>
  </si>
  <si>
    <t>Doação</t>
  </si>
  <si>
    <t>CE</t>
  </si>
  <si>
    <t>Separado(a)</t>
  </si>
  <si>
    <t>Honorários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</si>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</sst>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0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i/>
      <sz val="10"/>
      <color rgb="FF24313D"/>
      <name val="Carlito"/>
    </font>
    <font>
      <b/>
      <sz val="13"/>
      <color rgb="FF17324D"/>
      <name val="Carlito"/>
    </font>
    <font>
      <b/>
      <sz val="11"/>
      <color rgb="FF17324D"/>
      <name val="Carlito"/>
    </font>
    <font>
      <sz val="11"/>
      <color rgb="FF24313D"/>
      <name val="Carlito"/>
    </font>
    <font>
      <b/>
      <sz val="12"/>
      <color rgb="FF17324D"/>
      <name val="Carlito"/>
    </font>
    <font>
      <b/>
      <sz val="20"/>
      <color rgb="FF24313D"/>
      <name val="Aptos"/>
    </font>
    <font>
      <sz val="11"/>
      <color rgb="FF24313D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7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D6DEE6"/>
      </left>
      <right/>
      <top style="thin">
        <color rgb="FFD6DEE6"/>
      </top>
      <bottom/>
      <diagonal/>
    </border>
    <border>
      <left/>
      <right/>
      <top style="thin">
        <color rgb="FFD6DEE6"/>
      </top>
      <bottom/>
      <diagonal/>
    </border>
    <border>
      <left/>
      <right style="thin">
        <color rgb="FFD6DEE6"/>
      </right>
      <top style="thin">
        <color rgb="FFD6DEE6"/>
      </top>
      <bottom/>
      <diagonal/>
    </border>
    <border>
      <left style="thin">
        <color rgb="FFD6DEE6"/>
      </left>
      <right/>
      <top/>
      <bottom/>
      <diagonal/>
    </border>
    <border>
      <left/>
      <right style="thin">
        <color rgb="FFD6DEE6"/>
      </right>
      <top/>
      <bottom/>
      <diagonal/>
    </border>
    <border>
      <left style="thin">
        <color rgb="FFD6DEE6"/>
      </left>
      <right/>
      <top/>
      <bottom style="thin">
        <color rgb="FFD6DEE6"/>
      </bottom>
      <diagonal/>
    </border>
    <border>
      <left/>
      <right/>
      <top/>
      <bottom style="thin">
        <color rgb="FFD6DEE6"/>
      </bottom>
      <diagonal/>
    </border>
    <border>
      <left/>
      <right style="thin">
        <color rgb="FFD6DEE6"/>
      </right>
      <top/>
      <bottom style="thin">
        <color rgb="FFD6DE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7" xfId="0" applyFont="1" applyFill="1" applyBorder="1" applyAlignment="1">
      <alignment horizontal="center" vertical="center" wrapText="1"/>
    </xf>
    <xf numFmtId="0" fontId="5" fillId="3" borderId="0" xfId="0" applyFont="1" applyFill="1"/>
    <xf numFmtId="0" fontId="6" fillId="5" borderId="0" xfId="0" applyFont="1" applyFill="1"/>
    <xf numFmtId="0" fontId="6" fillId="5" borderId="7" xfId="0" applyFont="1" applyFill="1" applyBorder="1"/>
    <xf numFmtId="14" fontId="6" fillId="5" borderId="0" xfId="0" applyNumberFormat="1" applyFont="1" applyFill="1"/>
    <xf numFmtId="164" fontId="0" fillId="0" borderId="0" xfId="0" applyNumberFormat="1"/>
    <xf numFmtId="0" fontId="9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Distribuição dos Rendimentos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Total</c:v>
          </c:tx>
          <c:cat>
            <c:strRef>
              <c:f>RESUMO!$A$27:$A$35</c:f>
              <c:strCache>
                <c:ptCount val="9"/>
                <c:pt idx="0">
                  <c:v>Salário</c:v>
                </c:pt>
                <c:pt idx="1">
                  <c:v>Pró labore</c:v>
                </c:pt>
                <c:pt idx="2">
                  <c:v>Aposentadoria</c:v>
                </c:pt>
                <c:pt idx="3">
                  <c:v>Aluguel</c:v>
                </c:pt>
                <c:pt idx="4">
                  <c:v>Rendimento financeiro</c:v>
                </c:pt>
                <c:pt idx="5">
                  <c:v>Dividendos</c:v>
                </c:pt>
                <c:pt idx="6">
                  <c:v>Juros sobre capital</c:v>
                </c:pt>
                <c:pt idx="7">
                  <c:v>Rendimento isento</c:v>
                </c:pt>
                <c:pt idx="8">
                  <c:v>Outros</c:v>
                </c:pt>
              </c:strCache>
            </c:strRef>
          </c:cat>
          <c:val>
            <c:numRef>
              <c:f>RESUMO!$B$27:$B$35</c:f>
              <c:numCache>
                <c:formatCode>\R\$\ 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B-44F7-81E5-C943A8EAA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Patrimônio por Categoria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Patrimônio</c:v>
          </c:tx>
          <c:invertIfNegative val="1"/>
          <c:cat>
            <c:strRef>
              <c:f>RESUMO!$D$27:$D$33</c:f>
              <c:strCache>
                <c:ptCount val="7"/>
                <c:pt idx="0">
                  <c:v>Imóvel</c:v>
                </c:pt>
                <c:pt idx="1">
                  <c:v>Veículo</c:v>
                </c:pt>
                <c:pt idx="2">
                  <c:v>Conta bancária</c:v>
                </c:pt>
                <c:pt idx="3">
                  <c:v>Investimento</c:v>
                </c:pt>
                <c:pt idx="4">
                  <c:v>Participação societária</c:v>
                </c:pt>
                <c:pt idx="5">
                  <c:v>Criptoativo</c:v>
                </c:pt>
                <c:pt idx="6">
                  <c:v>Outros</c:v>
                </c:pt>
              </c:strCache>
            </c:strRef>
          </c:cat>
          <c:val>
            <c:numRef>
              <c:f>RESUMO!$E$27:$E$33</c:f>
              <c:numCache>
                <c:formatCode>\R\$\ 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1-479A-9730-47B557EA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nformes" displayName="TabelaInformes" ref="A10:G109" totalsRowShown="0">
  <tableColumns count="7">
    <tableColumn id="1" xr3:uid="{00000000-0010-0000-0000-000001000000}" name="Instituição"/>
    <tableColumn id="2" xr3:uid="{00000000-0010-0000-0000-000002000000}" name="CNPJ"/>
    <tableColumn id="3" xr3:uid="{00000000-0010-0000-0000-000003000000}" name="Tipo de informe"/>
    <tableColumn id="4" xr3:uid="{00000000-0010-0000-0000-000004000000}" name="Ano calendário"/>
    <tableColumn id="5" xr3:uid="{00000000-0010-0000-0000-000005000000}" name="Valor informado"/>
    <tableColumn id="6" xr3:uid="{00000000-0010-0000-0000-000006000000}" name="Arquivo recebido?"/>
    <tableColumn id="7" xr3:uid="{00000000-0010-0000-0000-000007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Rendimentos" displayName="TabelaRendimentos" ref="A10:G159" totalsRowShown="0">
  <tableColumns count="7">
    <tableColumn id="1" xr3:uid="{00000000-0010-0000-0100-000001000000}" name="Fonte pagadora"/>
    <tableColumn id="2" xr3:uid="{00000000-0010-0000-0100-000002000000}" name="CPF ou CNPJ"/>
    <tableColumn id="3" xr3:uid="{00000000-0010-0000-0100-000003000000}" name="Categoria"/>
    <tableColumn id="4" xr3:uid="{00000000-0010-0000-0100-000004000000}" name="Descrição"/>
    <tableColumn id="5" xr3:uid="{00000000-0010-0000-0100-000005000000}" name="Valor"/>
    <tableColumn id="6" xr3:uid="{00000000-0010-0000-0100-000006000000}" name="Imposto retido"/>
    <tableColumn id="7" xr3:uid="{00000000-0010-0000-0100-000007000000}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Bens" displayName="TabelaBens" ref="A10:G109" totalsRowShown="0">
  <tableColumns count="7">
    <tableColumn id="1" xr3:uid="{00000000-0010-0000-0200-000001000000}" name="Categoria"/>
    <tableColumn id="2" xr3:uid="{00000000-0010-0000-0200-000002000000}" name="Descrição do bem"/>
    <tableColumn id="3" xr3:uid="{00000000-0010-0000-0200-000003000000}" name="CPF ou CNPJ relacionado"/>
    <tableColumn id="4" xr3:uid="{00000000-0010-0000-0200-000004000000}" name="Situação em 31/12 ano anterior"/>
    <tableColumn id="5" xr3:uid="{00000000-0010-0000-0200-000005000000}" name="Situação em 31/12 ano atual"/>
    <tableColumn id="6" xr3:uid="{00000000-0010-0000-0200-000006000000}" name="Banco ou instituição"/>
    <tableColumn id="7" xr3:uid="{00000000-0010-0000-0200-000007000000}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Pagamentos" displayName="TabelaPagamentos" ref="A10:G109" totalsRowShown="0">
  <tableColumns count="7">
    <tableColumn id="1" xr3:uid="{00000000-0010-0000-0300-000001000000}" name="Tipo"/>
    <tableColumn id="2" xr3:uid="{00000000-0010-0000-0300-000002000000}" name="Beneficiário"/>
    <tableColumn id="3" xr3:uid="{00000000-0010-0000-0300-000003000000}" name="CPF ou CNPJ"/>
    <tableColumn id="4" xr3:uid="{00000000-0010-0000-0300-000004000000}" name="Descrição"/>
    <tableColumn id="5" xr3:uid="{00000000-0010-0000-0300-000005000000}" name="Valor pago"/>
    <tableColumn id="6" xr3:uid="{00000000-0010-0000-0300-000006000000}" name="Possui comprovante?"/>
    <tableColumn id="7" xr3:uid="{00000000-0010-0000-0300-000007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opLeftCell="G1" workbookViewId="0">
      <selection activeCell="J24" sqref="J24"/>
    </sheetView>
  </sheetViews>
  <sheetFormatPr defaultRowHeight="14"/>
  <cols>
    <col min="1" max="10" width="16" customWidth="1"/>
  </cols>
  <sheetData>
    <row r="1" spans="1:15" ht="16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</row>
    <row r="2" spans="1:15" ht="16" customHeigh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5" ht="16" customHeight="1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5" spans="1:1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</row>
    <row r="7" spans="1:15">
      <c r="A7" s="13" t="str">
        <f>HYPERLINK("#'DADOS_PESSOAIS'!A1","DADOS PESSOAIS")</f>
        <v>DADOS PESSOAIS</v>
      </c>
      <c r="B7" s="14"/>
      <c r="C7" s="15"/>
      <c r="E7" s="13" t="str">
        <f>HYPERLINK("#'INFORMES'!A1","INFORMES")</f>
        <v>INFORMES</v>
      </c>
      <c r="F7" s="14"/>
      <c r="G7" s="15"/>
      <c r="I7" s="13" t="str">
        <f>HYPERLINK("#'RENDIMENTOS'!A1","RENDIMENTOS")</f>
        <v>RENDIMENTOS</v>
      </c>
      <c r="J7" s="15"/>
    </row>
    <row r="8" spans="1:15">
      <c r="A8" s="16"/>
      <c r="B8" s="17"/>
      <c r="C8" s="18"/>
      <c r="E8" s="16"/>
      <c r="F8" s="17"/>
      <c r="G8" s="18"/>
      <c r="I8" s="16"/>
      <c r="J8" s="18"/>
    </row>
    <row r="9" spans="1:15">
      <c r="A9" s="19"/>
      <c r="B9" s="20"/>
      <c r="C9" s="21"/>
      <c r="E9" s="19"/>
      <c r="F9" s="20"/>
      <c r="G9" s="21"/>
      <c r="I9" s="19"/>
      <c r="J9" s="21"/>
    </row>
    <row r="11" spans="1:15">
      <c r="A11" s="13" t="str">
        <f>HYPERLINK("#'BENS_DIREITOS'!A1","BENS E DIREITOS")</f>
        <v>BENS E DIREITOS</v>
      </c>
      <c r="B11" s="14"/>
      <c r="C11" s="15"/>
      <c r="E11" s="13" t="str">
        <f>HYPERLINK("#'PAGAMENTOS'!A1","PAGAMENTOS")</f>
        <v>PAGAMENTOS</v>
      </c>
      <c r="F11" s="14"/>
      <c r="G11" s="15"/>
      <c r="I11" s="13" t="str">
        <f>HYPERLINK("#'RESUMO'!A1","RESUMO")</f>
        <v>RESUMO</v>
      </c>
      <c r="J11" s="15"/>
    </row>
    <row r="12" spans="1:15">
      <c r="A12" s="16"/>
      <c r="B12" s="17"/>
      <c r="C12" s="18"/>
      <c r="E12" s="16"/>
      <c r="F12" s="17"/>
      <c r="G12" s="18"/>
      <c r="I12" s="16"/>
      <c r="J12" s="18"/>
    </row>
    <row r="13" spans="1:15">
      <c r="A13" s="19"/>
      <c r="B13" s="20"/>
      <c r="C13" s="21"/>
      <c r="E13" s="19"/>
      <c r="F13" s="20"/>
      <c r="G13" s="21"/>
      <c r="I13" s="19"/>
      <c r="J13" s="21"/>
    </row>
    <row r="16" spans="1:15">
      <c r="A16" s="12" t="s">
        <v>3</v>
      </c>
      <c r="B16" s="12"/>
      <c r="C16" s="12"/>
      <c r="D16" s="12"/>
      <c r="E16" s="12"/>
      <c r="F16" s="12"/>
      <c r="G16" s="12"/>
      <c r="H16" s="12"/>
      <c r="I16" s="12"/>
      <c r="J16" s="12"/>
    </row>
    <row r="18" spans="1:10" ht="28">
      <c r="A18" s="2" t="s">
        <v>4</v>
      </c>
      <c r="B18" s="2" t="s">
        <v>5</v>
      </c>
      <c r="F18" s="22" t="s">
        <v>6</v>
      </c>
      <c r="G18" s="22"/>
      <c r="H18" s="22"/>
      <c r="I18" s="22"/>
      <c r="J18" s="22"/>
    </row>
    <row r="19" spans="1:10">
      <c r="A19" t="s">
        <v>7</v>
      </c>
      <c r="B19" t="str">
        <f>IF(COUNTA(DADOS_PESSOAIS!B8:B24)&gt;=8,"OK","PENDENTE")</f>
        <v>PENDENTE</v>
      </c>
      <c r="F19">
        <f>COUNTIF(PAGAMENTOS!A10:A109,"&lt;&gt;")</f>
        <v>1</v>
      </c>
    </row>
    <row r="20" spans="1:10">
      <c r="A20" t="s">
        <v>8</v>
      </c>
      <c r="B20">
        <f>COUNTIF(INFORMES!A10:A109,"&lt;&gt;")</f>
        <v>1</v>
      </c>
    </row>
    <row r="21" spans="1:10">
      <c r="A21" t="s">
        <v>9</v>
      </c>
      <c r="B21">
        <f>COUNTIF(RENDIMENTOS!A10:A159,"&lt;&gt;")</f>
        <v>1</v>
      </c>
    </row>
    <row r="22" spans="1:10">
      <c r="A22" t="s">
        <v>10</v>
      </c>
      <c r="B22">
        <f>COUNTIF(BENS_DIREITOS!A10:A109,"&lt;&gt;")</f>
        <v>1</v>
      </c>
    </row>
  </sheetData>
  <mergeCells count="11">
    <mergeCell ref="A11:C13"/>
    <mergeCell ref="E11:G13"/>
    <mergeCell ref="I11:J13"/>
    <mergeCell ref="A16:J16"/>
    <mergeCell ref="F18:J18"/>
    <mergeCell ref="A1:J2"/>
    <mergeCell ref="A3:J3"/>
    <mergeCell ref="A5:J5"/>
    <mergeCell ref="A7:C9"/>
    <mergeCell ref="E7:G9"/>
    <mergeCell ref="I7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topLeftCell="A51" workbookViewId="0">
      <selection sqref="A1:F2"/>
    </sheetView>
  </sheetViews>
  <sheetFormatPr defaultRowHeight="14"/>
  <cols>
    <col min="1" max="1" width="28" customWidth="1"/>
    <col min="2" max="2" width="38" customWidth="1"/>
  </cols>
  <sheetData>
    <row r="1" spans="1:15" ht="16" customHeight="1">
      <c r="A1" s="9" t="s">
        <v>11</v>
      </c>
      <c r="B1" s="9"/>
      <c r="C1" s="9"/>
      <c r="D1" s="9"/>
      <c r="E1" s="9"/>
      <c r="F1" s="9"/>
      <c r="G1" s="8"/>
      <c r="H1" s="8"/>
      <c r="I1" s="8"/>
      <c r="J1" s="8"/>
      <c r="K1" s="8"/>
      <c r="L1" s="8"/>
      <c r="M1" s="8"/>
      <c r="N1" s="8"/>
      <c r="O1" s="8"/>
    </row>
    <row r="2" spans="1:15" ht="16" customHeight="1">
      <c r="A2" s="10"/>
      <c r="B2" s="10"/>
      <c r="C2" s="10"/>
      <c r="D2" s="10"/>
      <c r="E2" s="10"/>
      <c r="F2" s="10"/>
    </row>
    <row r="3" spans="1:15" ht="16" customHeight="1">
      <c r="A3" s="11" t="s">
        <v>12</v>
      </c>
      <c r="B3" s="11"/>
      <c r="C3" s="11"/>
      <c r="D3" s="11"/>
      <c r="E3" s="11"/>
      <c r="F3" s="11"/>
    </row>
    <row r="5" spans="1:15">
      <c r="A5" s="3" t="str">
        <f>HYPERLINK("#'INÍCIO'!A1","← VOLTAR AO MENU")</f>
        <v>← VOLTAR AO MENU</v>
      </c>
    </row>
    <row r="7" spans="1:15">
      <c r="A7" s="3" t="s">
        <v>13</v>
      </c>
      <c r="B7" s="4"/>
    </row>
    <row r="8" spans="1:15">
      <c r="A8" s="3" t="s">
        <v>14</v>
      </c>
      <c r="B8" s="4"/>
    </row>
    <row r="9" spans="1:15">
      <c r="A9" s="3" t="s">
        <v>15</v>
      </c>
      <c r="B9" s="6"/>
    </row>
    <row r="10" spans="1:15">
      <c r="A10" s="3" t="s">
        <v>16</v>
      </c>
      <c r="B10" s="4"/>
    </row>
    <row r="11" spans="1:15">
      <c r="A11" s="3" t="s">
        <v>17</v>
      </c>
      <c r="B11" s="4"/>
    </row>
    <row r="12" spans="1:15">
      <c r="A12" s="3" t="s">
        <v>18</v>
      </c>
      <c r="B12" s="4"/>
    </row>
    <row r="13" spans="1:15">
      <c r="A13" s="3" t="s">
        <v>19</v>
      </c>
      <c r="B13" s="4"/>
    </row>
    <row r="14" spans="1:15">
      <c r="A14" s="3" t="s">
        <v>20</v>
      </c>
      <c r="B14" s="4"/>
    </row>
    <row r="15" spans="1:15">
      <c r="A15" s="3" t="s">
        <v>21</v>
      </c>
      <c r="B15" s="4"/>
    </row>
    <row r="16" spans="1:15">
      <c r="A16" s="3" t="s">
        <v>22</v>
      </c>
      <c r="B16" s="4"/>
    </row>
    <row r="17" spans="1:2">
      <c r="A17" s="3" t="s">
        <v>23</v>
      </c>
      <c r="B17" s="4"/>
    </row>
    <row r="18" spans="1:2">
      <c r="A18" s="3" t="s">
        <v>24</v>
      </c>
      <c r="B18" s="4"/>
    </row>
    <row r="19" spans="1:2">
      <c r="A19" s="3" t="s">
        <v>25</v>
      </c>
      <c r="B19" s="4"/>
    </row>
    <row r="20" spans="1:2">
      <c r="A20" s="3" t="s">
        <v>26</v>
      </c>
      <c r="B20" s="4"/>
    </row>
    <row r="21" spans="1:2">
      <c r="A21" s="3" t="s">
        <v>27</v>
      </c>
      <c r="B21" s="4"/>
    </row>
    <row r="22" spans="1:2">
      <c r="A22" s="3" t="s">
        <v>28</v>
      </c>
      <c r="B22" s="4"/>
    </row>
    <row r="23" spans="1:2">
      <c r="A23" s="3" t="s">
        <v>29</v>
      </c>
      <c r="B23" s="4"/>
    </row>
    <row r="24" spans="1:2">
      <c r="A24" s="3" t="s">
        <v>30</v>
      </c>
      <c r="B24" s="5"/>
    </row>
  </sheetData>
  <mergeCells count="2">
    <mergeCell ref="A1:F2"/>
    <mergeCell ref="A3:F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LISTAS!$A$2:$A$28</xm:f>
          </x14:formula1>
          <xm:sqref>B19</xm:sqref>
        </x14:dataValidation>
        <x14:dataValidation type="list" xr:uid="{00000000-0002-0000-0100-000001000000}">
          <x14:formula1>
            <xm:f>LISTAS!$B$2:$B$7</xm:f>
          </x14:formula1>
          <xm:sqref>B22</xm:sqref>
        </x14:dataValidation>
        <x14:dataValidation type="list" xr:uid="{00000000-0002-0000-0100-000002000000}">
          <x14:formula1>
            <xm:f>LISTAS!$C$2:$C$3</xm:f>
          </x14:formula1>
          <xm:sqref>B23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9"/>
  <sheetViews>
    <sheetView tabSelected="1" topLeftCell="A87" workbookViewId="0">
      <selection activeCell="A5" sqref="A5"/>
    </sheetView>
  </sheetViews>
  <sheetFormatPr defaultRowHeight="14"/>
  <cols>
    <col min="1" max="6" width="19" customWidth="1"/>
    <col min="7" max="7" width="30" customWidth="1"/>
  </cols>
  <sheetData>
    <row r="1" spans="1:15" ht="16" customHeight="1">
      <c r="A1" s="9" t="s">
        <v>31</v>
      </c>
      <c r="B1" s="9"/>
      <c r="C1" s="9"/>
      <c r="D1" s="9"/>
      <c r="E1" s="9"/>
      <c r="F1" s="9"/>
      <c r="G1" s="9"/>
      <c r="H1" s="8"/>
      <c r="I1" s="8"/>
      <c r="J1" s="8"/>
      <c r="K1" s="8"/>
      <c r="L1" s="8"/>
      <c r="M1" s="8"/>
      <c r="N1" s="8"/>
      <c r="O1" s="8"/>
    </row>
    <row r="2" spans="1:15" ht="16" customHeight="1">
      <c r="A2" s="10"/>
      <c r="B2" s="10"/>
      <c r="C2" s="10"/>
      <c r="D2" s="10"/>
      <c r="E2" s="10"/>
      <c r="F2" s="10"/>
      <c r="G2" s="10"/>
    </row>
    <row r="3" spans="1:15" ht="16" customHeight="1">
      <c r="A3" s="11" t="s">
        <v>32</v>
      </c>
      <c r="B3" s="11"/>
      <c r="C3" s="11"/>
      <c r="D3" s="11"/>
      <c r="E3" s="11"/>
      <c r="F3" s="11"/>
      <c r="G3" s="11"/>
    </row>
    <row r="5" spans="1:15">
      <c r="A5" s="3" t="str">
        <f>HYPERLINK("#'INÍCIO'!A1","← VOLTAR AO MENU")</f>
        <v>← VOLTAR AO MENU</v>
      </c>
    </row>
    <row r="7" spans="1:15">
      <c r="A7" s="2" t="s">
        <v>4</v>
      </c>
      <c r="B7" s="2" t="s">
        <v>33</v>
      </c>
      <c r="D7" s="2" t="s">
        <v>4</v>
      </c>
      <c r="E7" s="2" t="s">
        <v>33</v>
      </c>
    </row>
    <row r="8" spans="1:15">
      <c r="A8" t="s">
        <v>34</v>
      </c>
      <c r="B8">
        <f>COUNTIF(A10:A109,"&lt;&gt;")</f>
        <v>1</v>
      </c>
      <c r="D8" t="s">
        <v>35</v>
      </c>
      <c r="E8" s="7">
        <f>SUM(E10:E109)</f>
        <v>0</v>
      </c>
    </row>
    <row r="10" spans="1:15" ht="21.4" customHeight="1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</row>
    <row r="11" spans="1:15">
      <c r="E11" s="7"/>
    </row>
    <row r="12" spans="1:15">
      <c r="E12" s="7"/>
    </row>
    <row r="13" spans="1:15">
      <c r="E13" s="7"/>
    </row>
    <row r="14" spans="1:15">
      <c r="E14" s="7"/>
    </row>
    <row r="15" spans="1:15">
      <c r="E15" s="7"/>
    </row>
    <row r="16" spans="1:15">
      <c r="E16" s="7"/>
    </row>
    <row r="17" spans="5:5">
      <c r="E17" s="7"/>
    </row>
    <row r="18" spans="5:5">
      <c r="E18" s="7"/>
    </row>
    <row r="19" spans="5:5">
      <c r="E19" s="7"/>
    </row>
    <row r="20" spans="5:5">
      <c r="E20" s="7"/>
    </row>
    <row r="21" spans="5:5">
      <c r="E21" s="7"/>
    </row>
    <row r="22" spans="5:5">
      <c r="E22" s="7"/>
    </row>
    <row r="23" spans="5:5">
      <c r="E23" s="7"/>
    </row>
    <row r="24" spans="5:5">
      <c r="E24" s="7"/>
    </row>
    <row r="25" spans="5:5">
      <c r="E25" s="7"/>
    </row>
    <row r="26" spans="5:5">
      <c r="E26" s="7"/>
    </row>
    <row r="27" spans="5:5">
      <c r="E27" s="7"/>
    </row>
    <row r="28" spans="5:5">
      <c r="E28" s="7"/>
    </row>
    <row r="29" spans="5:5">
      <c r="E29" s="7"/>
    </row>
    <row r="30" spans="5:5">
      <c r="E30" s="7"/>
    </row>
    <row r="31" spans="5:5">
      <c r="E31" s="7"/>
    </row>
    <row r="32" spans="5:5">
      <c r="E32" s="7"/>
    </row>
    <row r="33" spans="5:5">
      <c r="E33" s="7"/>
    </row>
    <row r="34" spans="5:5">
      <c r="E34" s="7"/>
    </row>
    <row r="35" spans="5:5">
      <c r="E35" s="7"/>
    </row>
    <row r="36" spans="5:5">
      <c r="E36" s="7"/>
    </row>
    <row r="37" spans="5:5">
      <c r="E37" s="7"/>
    </row>
    <row r="38" spans="5:5">
      <c r="E38" s="7"/>
    </row>
    <row r="39" spans="5:5">
      <c r="E39" s="7"/>
    </row>
    <row r="40" spans="5:5">
      <c r="E40" s="7"/>
    </row>
    <row r="41" spans="5:5">
      <c r="E41" s="7"/>
    </row>
    <row r="42" spans="5:5">
      <c r="E42" s="7"/>
    </row>
    <row r="43" spans="5:5">
      <c r="E43" s="7"/>
    </row>
    <row r="44" spans="5:5">
      <c r="E44" s="7"/>
    </row>
    <row r="45" spans="5:5">
      <c r="E45" s="7"/>
    </row>
    <row r="46" spans="5:5">
      <c r="E46" s="7"/>
    </row>
    <row r="47" spans="5:5">
      <c r="E47" s="7"/>
    </row>
    <row r="48" spans="5:5">
      <c r="E48" s="7"/>
    </row>
    <row r="49" spans="5:5">
      <c r="E49" s="7"/>
    </row>
    <row r="50" spans="5:5">
      <c r="E50" s="7"/>
    </row>
    <row r="51" spans="5:5">
      <c r="E51" s="7"/>
    </row>
    <row r="52" spans="5:5">
      <c r="E52" s="7"/>
    </row>
    <row r="53" spans="5:5">
      <c r="E53" s="7"/>
    </row>
    <row r="54" spans="5:5">
      <c r="E54" s="7"/>
    </row>
    <row r="55" spans="5:5">
      <c r="E55" s="7"/>
    </row>
    <row r="56" spans="5:5">
      <c r="E56" s="7"/>
    </row>
    <row r="57" spans="5:5">
      <c r="E57" s="7"/>
    </row>
    <row r="58" spans="5:5">
      <c r="E58" s="7"/>
    </row>
    <row r="59" spans="5:5">
      <c r="E59" s="7"/>
    </row>
    <row r="60" spans="5:5">
      <c r="E60" s="7"/>
    </row>
    <row r="61" spans="5:5">
      <c r="E61" s="7"/>
    </row>
    <row r="62" spans="5:5">
      <c r="E62" s="7"/>
    </row>
    <row r="63" spans="5:5">
      <c r="E63" s="7"/>
    </row>
    <row r="64" spans="5:5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  <row r="75" spans="5:5">
      <c r="E75" s="7"/>
    </row>
    <row r="76" spans="5:5">
      <c r="E76" s="7"/>
    </row>
    <row r="77" spans="5:5">
      <c r="E77" s="7"/>
    </row>
    <row r="78" spans="5:5">
      <c r="E78" s="7"/>
    </row>
    <row r="79" spans="5:5">
      <c r="E79" s="7"/>
    </row>
    <row r="80" spans="5:5">
      <c r="E80" s="7"/>
    </row>
    <row r="81" spans="5:5">
      <c r="E81" s="7"/>
    </row>
    <row r="82" spans="5:5">
      <c r="E82" s="7"/>
    </row>
    <row r="83" spans="5:5">
      <c r="E83" s="7"/>
    </row>
    <row r="84" spans="5:5">
      <c r="E84" s="7"/>
    </row>
    <row r="85" spans="5:5">
      <c r="E85" s="7"/>
    </row>
    <row r="86" spans="5:5">
      <c r="E86" s="7"/>
    </row>
    <row r="87" spans="5:5">
      <c r="E87" s="7"/>
    </row>
    <row r="88" spans="5:5">
      <c r="E88" s="7"/>
    </row>
    <row r="89" spans="5:5">
      <c r="E89" s="7"/>
    </row>
    <row r="90" spans="5:5">
      <c r="E90" s="7"/>
    </row>
    <row r="91" spans="5:5">
      <c r="E91" s="7"/>
    </row>
    <row r="92" spans="5:5">
      <c r="E92" s="7"/>
    </row>
    <row r="93" spans="5:5">
      <c r="E93" s="7"/>
    </row>
    <row r="94" spans="5:5">
      <c r="E94" s="7"/>
    </row>
    <row r="95" spans="5:5">
      <c r="E95" s="7"/>
    </row>
    <row r="96" spans="5:5">
      <c r="E96" s="7"/>
    </row>
    <row r="97" spans="5:5">
      <c r="E97" s="7"/>
    </row>
    <row r="98" spans="5:5">
      <c r="E98" s="7"/>
    </row>
    <row r="99" spans="5:5">
      <c r="E99" s="7"/>
    </row>
    <row r="100" spans="5:5">
      <c r="E100" s="7"/>
    </row>
    <row r="101" spans="5:5">
      <c r="E101" s="7"/>
    </row>
    <row r="102" spans="5:5">
      <c r="E102" s="7"/>
    </row>
    <row r="103" spans="5:5">
      <c r="E103" s="7"/>
    </row>
    <row r="104" spans="5:5">
      <c r="E104" s="7"/>
    </row>
    <row r="105" spans="5:5">
      <c r="E105" s="7"/>
    </row>
    <row r="106" spans="5:5">
      <c r="E106" s="7"/>
    </row>
    <row r="107" spans="5:5">
      <c r="E107" s="7"/>
    </row>
    <row r="108" spans="5:5">
      <c r="E108" s="7"/>
    </row>
    <row r="109" spans="5:5">
      <c r="E109" s="7"/>
    </row>
  </sheetData>
  <mergeCells count="2">
    <mergeCell ref="A1:G2"/>
    <mergeCell ref="A3:G3"/>
  </mergeCells>
  <dataValidations count="2">
    <dataValidation type="whole" sqref="D11:D109" xr:uid="{00000000-0002-0000-0200-000002000000}">
      <formula1>2000</formula1>
      <formula2>2100</formula2>
    </dataValidation>
    <dataValidation type="decimal" operator="greaterThanOrEqual" sqref="E11:E109" xr:uid="{00000000-0002-0000-0200-000003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LISTAS!$D$2:$D$7</xm:f>
          </x14:formula1>
          <xm:sqref>C11:C109</xm:sqref>
        </x14:dataValidation>
        <x14:dataValidation type="list" xr:uid="{00000000-0002-0000-0200-000001000000}">
          <x14:formula1>
            <xm:f>LISTAS!$C$2:$C$3</xm:f>
          </x14:formula1>
          <xm:sqref>F11:F109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9"/>
  <sheetViews>
    <sheetView workbookViewId="0">
      <selection sqref="A1:G2"/>
    </sheetView>
  </sheetViews>
  <sheetFormatPr defaultRowHeight="14"/>
  <cols>
    <col min="1" max="6" width="19" customWidth="1"/>
    <col min="7" max="7" width="30" customWidth="1"/>
  </cols>
  <sheetData>
    <row r="1" spans="1:15" ht="16" customHeight="1">
      <c r="A1" s="9" t="s">
        <v>43</v>
      </c>
      <c r="B1" s="9"/>
      <c r="C1" s="9"/>
      <c r="D1" s="9"/>
      <c r="E1" s="9"/>
      <c r="F1" s="9"/>
      <c r="G1" s="9"/>
      <c r="H1" s="8"/>
      <c r="I1" s="8"/>
      <c r="J1" s="8"/>
      <c r="K1" s="8"/>
      <c r="L1" s="8"/>
      <c r="M1" s="8"/>
      <c r="N1" s="8"/>
      <c r="O1" s="8"/>
    </row>
    <row r="2" spans="1:15" ht="16" customHeight="1">
      <c r="A2" s="10"/>
      <c r="B2" s="10"/>
      <c r="C2" s="10"/>
      <c r="D2" s="10"/>
      <c r="E2" s="10"/>
      <c r="F2" s="10"/>
      <c r="G2" s="10"/>
    </row>
    <row r="3" spans="1:15" ht="16" customHeight="1">
      <c r="A3" s="11" t="s">
        <v>44</v>
      </c>
      <c r="B3" s="11"/>
      <c r="C3" s="11"/>
      <c r="D3" s="11"/>
      <c r="E3" s="11"/>
      <c r="F3" s="11"/>
      <c r="G3" s="11"/>
    </row>
    <row r="5" spans="1:15">
      <c r="A5" s="3" t="str">
        <f>HYPERLINK("#'INÍCIO'!A1","← VOLTAR AO MENU")</f>
        <v>← VOLTAR AO MENU</v>
      </c>
    </row>
    <row r="7" spans="1:15">
      <c r="A7" s="2" t="s">
        <v>4</v>
      </c>
      <c r="B7" s="2" t="s">
        <v>33</v>
      </c>
      <c r="D7" s="2" t="s">
        <v>4</v>
      </c>
      <c r="E7" s="2" t="s">
        <v>33</v>
      </c>
    </row>
    <row r="8" spans="1:15">
      <c r="A8" t="s">
        <v>45</v>
      </c>
      <c r="B8" s="7">
        <f>SUM(E11:E159)</f>
        <v>0</v>
      </c>
      <c r="C8" s="7"/>
      <c r="D8" s="7" t="s">
        <v>46</v>
      </c>
      <c r="E8" s="7">
        <f>SUM(F11:F159)</f>
        <v>0</v>
      </c>
    </row>
    <row r="10" spans="1:15" ht="21.4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33</v>
      </c>
      <c r="F10" s="2" t="s">
        <v>51</v>
      </c>
      <c r="G10" s="2" t="s">
        <v>42</v>
      </c>
    </row>
    <row r="11" spans="1:15">
      <c r="E11" s="7"/>
      <c r="F11" s="7"/>
    </row>
    <row r="12" spans="1:15">
      <c r="E12" s="7"/>
      <c r="F12" s="7"/>
    </row>
    <row r="13" spans="1:15">
      <c r="E13" s="7"/>
      <c r="F13" s="7"/>
    </row>
    <row r="14" spans="1:15">
      <c r="E14" s="7"/>
      <c r="F14" s="7"/>
    </row>
    <row r="15" spans="1:15">
      <c r="E15" s="7"/>
      <c r="F15" s="7"/>
    </row>
    <row r="16" spans="1:15">
      <c r="E16" s="7"/>
      <c r="F16" s="7"/>
    </row>
    <row r="17" spans="5:6">
      <c r="E17" s="7"/>
      <c r="F17" s="7"/>
    </row>
    <row r="18" spans="5:6">
      <c r="E18" s="7"/>
      <c r="F18" s="7"/>
    </row>
    <row r="19" spans="5:6">
      <c r="E19" s="7"/>
      <c r="F19" s="7"/>
    </row>
    <row r="20" spans="5:6">
      <c r="E20" s="7"/>
      <c r="F20" s="7"/>
    </row>
    <row r="21" spans="5:6">
      <c r="E21" s="7"/>
      <c r="F21" s="7"/>
    </row>
    <row r="22" spans="5:6">
      <c r="E22" s="7"/>
      <c r="F22" s="7"/>
    </row>
    <row r="23" spans="5:6">
      <c r="E23" s="7"/>
      <c r="F23" s="7"/>
    </row>
    <row r="24" spans="5:6">
      <c r="E24" s="7"/>
      <c r="F24" s="7"/>
    </row>
    <row r="25" spans="5:6">
      <c r="E25" s="7"/>
      <c r="F25" s="7"/>
    </row>
    <row r="26" spans="5:6">
      <c r="E26" s="7"/>
      <c r="F26" s="7"/>
    </row>
    <row r="27" spans="5:6">
      <c r="E27" s="7"/>
      <c r="F27" s="7"/>
    </row>
    <row r="28" spans="5:6">
      <c r="E28" s="7"/>
      <c r="F28" s="7"/>
    </row>
    <row r="29" spans="5:6">
      <c r="E29" s="7"/>
      <c r="F29" s="7"/>
    </row>
    <row r="30" spans="5:6">
      <c r="E30" s="7"/>
      <c r="F30" s="7"/>
    </row>
    <row r="31" spans="5:6">
      <c r="E31" s="7"/>
      <c r="F31" s="7"/>
    </row>
    <row r="32" spans="5:6">
      <c r="E32" s="7"/>
      <c r="F32" s="7"/>
    </row>
    <row r="33" spans="5:6">
      <c r="E33" s="7"/>
      <c r="F33" s="7"/>
    </row>
    <row r="34" spans="5:6">
      <c r="E34" s="7"/>
      <c r="F34" s="7"/>
    </row>
    <row r="35" spans="5:6">
      <c r="E35" s="7"/>
      <c r="F35" s="7"/>
    </row>
    <row r="36" spans="5:6">
      <c r="E36" s="7"/>
      <c r="F36" s="7"/>
    </row>
    <row r="37" spans="5:6">
      <c r="E37" s="7"/>
      <c r="F37" s="7"/>
    </row>
    <row r="38" spans="5:6">
      <c r="E38" s="7"/>
      <c r="F38" s="7"/>
    </row>
    <row r="39" spans="5:6">
      <c r="E39" s="7"/>
      <c r="F39" s="7"/>
    </row>
    <row r="40" spans="5:6">
      <c r="E40" s="7"/>
      <c r="F40" s="7"/>
    </row>
    <row r="41" spans="5:6">
      <c r="E41" s="7"/>
      <c r="F41" s="7"/>
    </row>
    <row r="42" spans="5:6">
      <c r="E42" s="7"/>
      <c r="F42" s="7"/>
    </row>
    <row r="43" spans="5:6">
      <c r="E43" s="7"/>
      <c r="F43" s="7"/>
    </row>
    <row r="44" spans="5:6">
      <c r="E44" s="7"/>
      <c r="F44" s="7"/>
    </row>
    <row r="45" spans="5:6">
      <c r="E45" s="7"/>
      <c r="F45" s="7"/>
    </row>
    <row r="46" spans="5:6">
      <c r="E46" s="7"/>
      <c r="F46" s="7"/>
    </row>
    <row r="47" spans="5:6">
      <c r="E47" s="7"/>
      <c r="F47" s="7"/>
    </row>
    <row r="48" spans="5:6">
      <c r="E48" s="7"/>
      <c r="F48" s="7"/>
    </row>
    <row r="49" spans="5:6">
      <c r="E49" s="7"/>
      <c r="F49" s="7"/>
    </row>
    <row r="50" spans="5:6">
      <c r="E50" s="7"/>
      <c r="F50" s="7"/>
    </row>
    <row r="51" spans="5:6">
      <c r="E51" s="7"/>
      <c r="F51" s="7"/>
    </row>
    <row r="52" spans="5:6">
      <c r="E52" s="7"/>
      <c r="F52" s="7"/>
    </row>
    <row r="53" spans="5:6">
      <c r="E53" s="7"/>
      <c r="F53" s="7"/>
    </row>
    <row r="54" spans="5:6">
      <c r="E54" s="7"/>
      <c r="F54" s="7"/>
    </row>
    <row r="55" spans="5:6">
      <c r="E55" s="7"/>
      <c r="F55" s="7"/>
    </row>
    <row r="56" spans="5:6">
      <c r="E56" s="7"/>
      <c r="F56" s="7"/>
    </row>
    <row r="57" spans="5:6">
      <c r="E57" s="7"/>
      <c r="F57" s="7"/>
    </row>
    <row r="58" spans="5:6">
      <c r="E58" s="7"/>
      <c r="F58" s="7"/>
    </row>
    <row r="59" spans="5:6">
      <c r="E59" s="7"/>
      <c r="F59" s="7"/>
    </row>
    <row r="60" spans="5:6">
      <c r="E60" s="7"/>
      <c r="F60" s="7"/>
    </row>
    <row r="61" spans="5:6">
      <c r="E61" s="7"/>
      <c r="F61" s="7"/>
    </row>
    <row r="62" spans="5:6">
      <c r="E62" s="7"/>
      <c r="F62" s="7"/>
    </row>
    <row r="63" spans="5:6">
      <c r="E63" s="7"/>
      <c r="F63" s="7"/>
    </row>
    <row r="64" spans="5:6">
      <c r="E64" s="7"/>
      <c r="F64" s="7"/>
    </row>
    <row r="65" spans="5:6">
      <c r="E65" s="7"/>
      <c r="F65" s="7"/>
    </row>
    <row r="66" spans="5:6">
      <c r="E66" s="7"/>
      <c r="F66" s="7"/>
    </row>
    <row r="67" spans="5:6">
      <c r="E67" s="7"/>
      <c r="F67" s="7"/>
    </row>
    <row r="68" spans="5:6">
      <c r="E68" s="7"/>
      <c r="F68" s="7"/>
    </row>
    <row r="69" spans="5:6">
      <c r="E69" s="7"/>
      <c r="F69" s="7"/>
    </row>
    <row r="70" spans="5:6">
      <c r="E70" s="7"/>
      <c r="F70" s="7"/>
    </row>
    <row r="71" spans="5:6">
      <c r="E71" s="7"/>
      <c r="F71" s="7"/>
    </row>
    <row r="72" spans="5:6">
      <c r="E72" s="7"/>
      <c r="F72" s="7"/>
    </row>
    <row r="73" spans="5:6">
      <c r="E73" s="7"/>
      <c r="F73" s="7"/>
    </row>
    <row r="74" spans="5:6">
      <c r="E74" s="7"/>
      <c r="F74" s="7"/>
    </row>
    <row r="75" spans="5:6">
      <c r="E75" s="7"/>
      <c r="F75" s="7"/>
    </row>
    <row r="76" spans="5:6">
      <c r="E76" s="7"/>
      <c r="F76" s="7"/>
    </row>
    <row r="77" spans="5:6">
      <c r="E77" s="7"/>
      <c r="F77" s="7"/>
    </row>
    <row r="78" spans="5:6">
      <c r="E78" s="7"/>
      <c r="F78" s="7"/>
    </row>
    <row r="79" spans="5:6">
      <c r="E79" s="7"/>
      <c r="F79" s="7"/>
    </row>
    <row r="80" spans="5:6">
      <c r="E80" s="7"/>
      <c r="F80" s="7"/>
    </row>
    <row r="81" spans="5:6">
      <c r="E81" s="7"/>
      <c r="F81" s="7"/>
    </row>
    <row r="82" spans="5:6">
      <c r="E82" s="7"/>
      <c r="F82" s="7"/>
    </row>
    <row r="83" spans="5:6">
      <c r="E83" s="7"/>
      <c r="F83" s="7"/>
    </row>
    <row r="84" spans="5:6">
      <c r="E84" s="7"/>
      <c r="F84" s="7"/>
    </row>
    <row r="85" spans="5:6">
      <c r="E85" s="7"/>
      <c r="F85" s="7"/>
    </row>
    <row r="86" spans="5:6">
      <c r="E86" s="7"/>
      <c r="F86" s="7"/>
    </row>
    <row r="87" spans="5:6">
      <c r="E87" s="7"/>
      <c r="F87" s="7"/>
    </row>
    <row r="88" spans="5:6">
      <c r="E88" s="7"/>
      <c r="F88" s="7"/>
    </row>
    <row r="89" spans="5:6">
      <c r="E89" s="7"/>
      <c r="F89" s="7"/>
    </row>
    <row r="90" spans="5:6">
      <c r="E90" s="7"/>
      <c r="F90" s="7"/>
    </row>
    <row r="91" spans="5:6">
      <c r="E91" s="7"/>
      <c r="F91" s="7"/>
    </row>
    <row r="92" spans="5:6">
      <c r="E92" s="7"/>
      <c r="F92" s="7"/>
    </row>
    <row r="93" spans="5:6">
      <c r="E93" s="7"/>
      <c r="F93" s="7"/>
    </row>
    <row r="94" spans="5:6">
      <c r="E94" s="7"/>
      <c r="F94" s="7"/>
    </row>
    <row r="95" spans="5:6">
      <c r="E95" s="7"/>
      <c r="F95" s="7"/>
    </row>
    <row r="96" spans="5:6">
      <c r="E96" s="7"/>
      <c r="F96" s="7"/>
    </row>
    <row r="97" spans="5:6">
      <c r="E97" s="7"/>
      <c r="F97" s="7"/>
    </row>
    <row r="98" spans="5:6">
      <c r="E98" s="7"/>
      <c r="F98" s="7"/>
    </row>
    <row r="99" spans="5:6">
      <c r="E99" s="7"/>
      <c r="F99" s="7"/>
    </row>
    <row r="100" spans="5:6">
      <c r="E100" s="7"/>
      <c r="F100" s="7"/>
    </row>
    <row r="101" spans="5:6">
      <c r="E101" s="7"/>
      <c r="F101" s="7"/>
    </row>
    <row r="102" spans="5:6">
      <c r="E102" s="7"/>
      <c r="F102" s="7"/>
    </row>
    <row r="103" spans="5:6">
      <c r="E103" s="7"/>
      <c r="F103" s="7"/>
    </row>
    <row r="104" spans="5:6">
      <c r="E104" s="7"/>
      <c r="F104" s="7"/>
    </row>
    <row r="105" spans="5:6">
      <c r="E105" s="7"/>
      <c r="F105" s="7"/>
    </row>
    <row r="106" spans="5:6">
      <c r="E106" s="7"/>
      <c r="F106" s="7"/>
    </row>
    <row r="107" spans="5:6">
      <c r="E107" s="7"/>
      <c r="F107" s="7"/>
    </row>
    <row r="108" spans="5:6">
      <c r="E108" s="7"/>
      <c r="F108" s="7"/>
    </row>
    <row r="109" spans="5:6">
      <c r="E109" s="7"/>
      <c r="F109" s="7"/>
    </row>
    <row r="110" spans="5:6">
      <c r="E110" s="7"/>
      <c r="F110" s="7"/>
    </row>
    <row r="111" spans="5:6">
      <c r="E111" s="7"/>
      <c r="F111" s="7"/>
    </row>
    <row r="112" spans="5:6">
      <c r="E112" s="7"/>
      <c r="F112" s="7"/>
    </row>
    <row r="113" spans="5:6">
      <c r="E113" s="7"/>
      <c r="F113" s="7"/>
    </row>
    <row r="114" spans="5:6">
      <c r="E114" s="7"/>
      <c r="F114" s="7"/>
    </row>
    <row r="115" spans="5:6">
      <c r="E115" s="7"/>
      <c r="F115" s="7"/>
    </row>
    <row r="116" spans="5:6">
      <c r="E116" s="7"/>
      <c r="F116" s="7"/>
    </row>
    <row r="117" spans="5:6">
      <c r="E117" s="7"/>
      <c r="F117" s="7"/>
    </row>
    <row r="118" spans="5:6">
      <c r="E118" s="7"/>
      <c r="F118" s="7"/>
    </row>
    <row r="119" spans="5:6">
      <c r="E119" s="7"/>
      <c r="F119" s="7"/>
    </row>
    <row r="120" spans="5:6">
      <c r="E120" s="7"/>
      <c r="F120" s="7"/>
    </row>
    <row r="121" spans="5:6">
      <c r="E121" s="7"/>
      <c r="F121" s="7"/>
    </row>
    <row r="122" spans="5:6">
      <c r="E122" s="7"/>
      <c r="F122" s="7"/>
    </row>
    <row r="123" spans="5:6">
      <c r="E123" s="7"/>
      <c r="F123" s="7"/>
    </row>
    <row r="124" spans="5:6">
      <c r="E124" s="7"/>
      <c r="F124" s="7"/>
    </row>
    <row r="125" spans="5:6">
      <c r="E125" s="7"/>
      <c r="F125" s="7"/>
    </row>
    <row r="126" spans="5:6">
      <c r="E126" s="7"/>
      <c r="F126" s="7"/>
    </row>
    <row r="127" spans="5:6">
      <c r="E127" s="7"/>
      <c r="F127" s="7"/>
    </row>
    <row r="128" spans="5:6">
      <c r="E128" s="7"/>
      <c r="F128" s="7"/>
    </row>
    <row r="129" spans="5:6">
      <c r="E129" s="7"/>
      <c r="F129" s="7"/>
    </row>
    <row r="130" spans="5:6">
      <c r="E130" s="7"/>
      <c r="F130" s="7"/>
    </row>
    <row r="131" spans="5:6">
      <c r="E131" s="7"/>
      <c r="F131" s="7"/>
    </row>
    <row r="132" spans="5:6">
      <c r="E132" s="7"/>
      <c r="F132" s="7"/>
    </row>
    <row r="133" spans="5:6">
      <c r="E133" s="7"/>
      <c r="F133" s="7"/>
    </row>
    <row r="134" spans="5:6">
      <c r="E134" s="7"/>
      <c r="F134" s="7"/>
    </row>
    <row r="135" spans="5:6">
      <c r="E135" s="7"/>
      <c r="F135" s="7"/>
    </row>
    <row r="136" spans="5:6">
      <c r="E136" s="7"/>
      <c r="F136" s="7"/>
    </row>
    <row r="137" spans="5:6">
      <c r="E137" s="7"/>
      <c r="F137" s="7"/>
    </row>
    <row r="138" spans="5:6">
      <c r="E138" s="7"/>
      <c r="F138" s="7"/>
    </row>
    <row r="139" spans="5:6">
      <c r="E139" s="7"/>
      <c r="F139" s="7"/>
    </row>
    <row r="140" spans="5:6">
      <c r="E140" s="7"/>
      <c r="F140" s="7"/>
    </row>
    <row r="141" spans="5:6">
      <c r="E141" s="7"/>
      <c r="F141" s="7"/>
    </row>
    <row r="142" spans="5:6">
      <c r="E142" s="7"/>
      <c r="F142" s="7"/>
    </row>
    <row r="143" spans="5:6">
      <c r="E143" s="7"/>
      <c r="F143" s="7"/>
    </row>
    <row r="144" spans="5:6">
      <c r="E144" s="7"/>
      <c r="F144" s="7"/>
    </row>
    <row r="145" spans="5:6">
      <c r="E145" s="7"/>
      <c r="F145" s="7"/>
    </row>
    <row r="146" spans="5:6">
      <c r="E146" s="7"/>
      <c r="F146" s="7"/>
    </row>
    <row r="147" spans="5:6">
      <c r="E147" s="7"/>
      <c r="F147" s="7"/>
    </row>
    <row r="148" spans="5:6">
      <c r="E148" s="7"/>
      <c r="F148" s="7"/>
    </row>
    <row r="149" spans="5:6">
      <c r="E149" s="7"/>
      <c r="F149" s="7"/>
    </row>
    <row r="150" spans="5:6">
      <c r="E150" s="7"/>
      <c r="F150" s="7"/>
    </row>
    <row r="151" spans="5:6">
      <c r="E151" s="7"/>
      <c r="F151" s="7"/>
    </row>
    <row r="152" spans="5:6">
      <c r="E152" s="7"/>
      <c r="F152" s="7"/>
    </row>
    <row r="153" spans="5:6">
      <c r="E153" s="7"/>
      <c r="F153" s="7"/>
    </row>
    <row r="154" spans="5:6">
      <c r="E154" s="7"/>
      <c r="F154" s="7"/>
    </row>
    <row r="155" spans="5:6">
      <c r="E155" s="7"/>
      <c r="F155" s="7"/>
    </row>
    <row r="156" spans="5:6">
      <c r="E156" s="7"/>
      <c r="F156" s="7"/>
    </row>
    <row r="157" spans="5:6">
      <c r="E157" s="7"/>
      <c r="F157" s="7"/>
    </row>
    <row r="158" spans="5:6">
      <c r="E158" s="7"/>
      <c r="F158" s="7"/>
    </row>
    <row r="159" spans="5:6">
      <c r="E159" s="7"/>
      <c r="F159" s="7"/>
    </row>
  </sheetData>
  <mergeCells count="2">
    <mergeCell ref="A1:G2"/>
    <mergeCell ref="A3:G3"/>
  </mergeCells>
  <dataValidations count="1">
    <dataValidation type="decimal" operator="greaterThanOrEqual" sqref="E11:F159" xr:uid="{00000000-0002-0000-0300-000001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LISTAS!$E$2:$E$10</xm:f>
          </x14:formula1>
          <xm:sqref>C11:C159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9"/>
  <sheetViews>
    <sheetView workbookViewId="0">
      <selection sqref="A1:G2"/>
    </sheetView>
  </sheetViews>
  <sheetFormatPr defaultRowHeight="14"/>
  <cols>
    <col min="1" max="6" width="19" customWidth="1"/>
    <col min="7" max="7" width="30" customWidth="1"/>
  </cols>
  <sheetData>
    <row r="1" spans="1:15" ht="16" customHeight="1">
      <c r="A1" s="9" t="s">
        <v>52</v>
      </c>
      <c r="B1" s="9"/>
      <c r="C1" s="9"/>
      <c r="D1" s="9"/>
      <c r="E1" s="9"/>
      <c r="F1" s="9"/>
      <c r="G1" s="9"/>
      <c r="H1" s="8"/>
      <c r="I1" s="8"/>
      <c r="J1" s="8"/>
      <c r="K1" s="8"/>
      <c r="L1" s="8"/>
      <c r="M1" s="8"/>
      <c r="N1" s="8"/>
      <c r="O1" s="8"/>
    </row>
    <row r="2" spans="1:15" ht="16" customHeight="1">
      <c r="A2" s="10"/>
      <c r="B2" s="10"/>
      <c r="C2" s="10"/>
      <c r="D2" s="10"/>
      <c r="E2" s="10"/>
      <c r="F2" s="10"/>
      <c r="G2" s="10"/>
    </row>
    <row r="3" spans="1:15" ht="16" customHeight="1">
      <c r="A3" s="11" t="s">
        <v>53</v>
      </c>
      <c r="B3" s="11"/>
      <c r="C3" s="11"/>
      <c r="D3" s="11"/>
      <c r="E3" s="11"/>
      <c r="F3" s="11"/>
      <c r="G3" s="11"/>
    </row>
    <row r="5" spans="1:15">
      <c r="A5" s="3" t="str">
        <f>HYPERLINK("#'INÍCIO'!A1","← VOLTAR AO MENU")</f>
        <v>← VOLTAR AO MENU</v>
      </c>
    </row>
    <row r="7" spans="1:15" ht="28">
      <c r="A7" s="2" t="s">
        <v>54</v>
      </c>
      <c r="B7" s="2" t="s">
        <v>55</v>
      </c>
      <c r="C7" s="2" t="s">
        <v>56</v>
      </c>
    </row>
    <row r="8" spans="1:15">
      <c r="A8" s="7">
        <f>SUM(D11:D109)</f>
        <v>0</v>
      </c>
      <c r="B8" s="7">
        <f>SUM(E11:E109)</f>
        <v>0</v>
      </c>
      <c r="C8" s="7">
        <f>B8-A8</f>
        <v>0</v>
      </c>
    </row>
    <row r="10" spans="1:15" ht="21.4" customHeight="1">
      <c r="A10" s="2" t="s">
        <v>49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42</v>
      </c>
    </row>
    <row r="11" spans="1:15">
      <c r="D11" s="7"/>
      <c r="E11" s="7"/>
    </row>
    <row r="12" spans="1:15">
      <c r="D12" s="7"/>
      <c r="E12" s="7"/>
    </row>
    <row r="13" spans="1:15">
      <c r="D13" s="7"/>
      <c r="E13" s="7"/>
    </row>
    <row r="14" spans="1:15">
      <c r="D14" s="7"/>
      <c r="E14" s="7"/>
    </row>
    <row r="15" spans="1:15">
      <c r="D15" s="7"/>
      <c r="E15" s="7"/>
    </row>
    <row r="16" spans="1:15">
      <c r="D16" s="7"/>
      <c r="E16" s="7"/>
    </row>
    <row r="17" spans="4:5">
      <c r="D17" s="7"/>
      <c r="E17" s="7"/>
    </row>
    <row r="18" spans="4:5">
      <c r="D18" s="7"/>
      <c r="E18" s="7"/>
    </row>
    <row r="19" spans="4:5">
      <c r="D19" s="7"/>
      <c r="E19" s="7"/>
    </row>
    <row r="20" spans="4:5">
      <c r="D20" s="7"/>
      <c r="E20" s="7"/>
    </row>
    <row r="21" spans="4:5">
      <c r="D21" s="7"/>
      <c r="E21" s="7"/>
    </row>
    <row r="22" spans="4:5">
      <c r="D22" s="7"/>
      <c r="E22" s="7"/>
    </row>
    <row r="23" spans="4:5">
      <c r="D23" s="7"/>
      <c r="E23" s="7"/>
    </row>
    <row r="24" spans="4:5">
      <c r="D24" s="7"/>
      <c r="E24" s="7"/>
    </row>
    <row r="25" spans="4:5">
      <c r="D25" s="7"/>
      <c r="E25" s="7"/>
    </row>
    <row r="26" spans="4:5">
      <c r="D26" s="7"/>
      <c r="E26" s="7"/>
    </row>
    <row r="27" spans="4:5">
      <c r="D27" s="7"/>
      <c r="E27" s="7"/>
    </row>
    <row r="28" spans="4:5">
      <c r="D28" s="7"/>
      <c r="E28" s="7"/>
    </row>
    <row r="29" spans="4:5">
      <c r="D29" s="7"/>
      <c r="E29" s="7"/>
    </row>
    <row r="30" spans="4:5">
      <c r="D30" s="7"/>
      <c r="E30" s="7"/>
    </row>
    <row r="31" spans="4:5">
      <c r="D31" s="7"/>
      <c r="E31" s="7"/>
    </row>
    <row r="32" spans="4:5">
      <c r="D32" s="7"/>
      <c r="E32" s="7"/>
    </row>
    <row r="33" spans="4:5">
      <c r="D33" s="7"/>
      <c r="E33" s="7"/>
    </row>
    <row r="34" spans="4:5">
      <c r="D34" s="7"/>
      <c r="E34" s="7"/>
    </row>
    <row r="35" spans="4:5">
      <c r="D35" s="7"/>
      <c r="E35" s="7"/>
    </row>
    <row r="36" spans="4:5">
      <c r="D36" s="7"/>
      <c r="E36" s="7"/>
    </row>
    <row r="37" spans="4:5">
      <c r="D37" s="7"/>
      <c r="E37" s="7"/>
    </row>
    <row r="38" spans="4:5">
      <c r="D38" s="7"/>
      <c r="E38" s="7"/>
    </row>
    <row r="39" spans="4:5">
      <c r="D39" s="7"/>
      <c r="E39" s="7"/>
    </row>
    <row r="40" spans="4:5">
      <c r="D40" s="7"/>
      <c r="E40" s="7"/>
    </row>
    <row r="41" spans="4:5">
      <c r="D41" s="7"/>
      <c r="E41" s="7"/>
    </row>
    <row r="42" spans="4:5">
      <c r="D42" s="7"/>
      <c r="E42" s="7"/>
    </row>
    <row r="43" spans="4:5">
      <c r="D43" s="7"/>
      <c r="E43" s="7"/>
    </row>
    <row r="44" spans="4:5">
      <c r="D44" s="7"/>
      <c r="E44" s="7"/>
    </row>
    <row r="45" spans="4:5">
      <c r="D45" s="7"/>
      <c r="E45" s="7"/>
    </row>
    <row r="46" spans="4:5">
      <c r="D46" s="7"/>
      <c r="E46" s="7"/>
    </row>
    <row r="47" spans="4:5">
      <c r="D47" s="7"/>
      <c r="E47" s="7"/>
    </row>
    <row r="48" spans="4:5">
      <c r="D48" s="7"/>
      <c r="E48" s="7"/>
    </row>
    <row r="49" spans="4:5">
      <c r="D49" s="7"/>
      <c r="E49" s="7"/>
    </row>
    <row r="50" spans="4:5">
      <c r="D50" s="7"/>
      <c r="E50" s="7"/>
    </row>
    <row r="51" spans="4:5">
      <c r="D51" s="7"/>
      <c r="E51" s="7"/>
    </row>
    <row r="52" spans="4:5">
      <c r="D52" s="7"/>
      <c r="E52" s="7"/>
    </row>
    <row r="53" spans="4:5">
      <c r="D53" s="7"/>
      <c r="E53" s="7"/>
    </row>
    <row r="54" spans="4:5">
      <c r="D54" s="7"/>
      <c r="E54" s="7"/>
    </row>
    <row r="55" spans="4:5">
      <c r="D55" s="7"/>
      <c r="E55" s="7"/>
    </row>
    <row r="56" spans="4:5">
      <c r="D56" s="7"/>
      <c r="E56" s="7"/>
    </row>
    <row r="57" spans="4:5">
      <c r="D57" s="7"/>
      <c r="E57" s="7"/>
    </row>
    <row r="58" spans="4:5">
      <c r="D58" s="7"/>
      <c r="E58" s="7"/>
    </row>
    <row r="59" spans="4:5">
      <c r="D59" s="7"/>
      <c r="E59" s="7"/>
    </row>
    <row r="60" spans="4:5">
      <c r="D60" s="7"/>
      <c r="E60" s="7"/>
    </row>
    <row r="61" spans="4:5">
      <c r="D61" s="7"/>
      <c r="E61" s="7"/>
    </row>
    <row r="62" spans="4:5">
      <c r="D62" s="7"/>
      <c r="E62" s="7"/>
    </row>
    <row r="63" spans="4:5">
      <c r="D63" s="7"/>
      <c r="E63" s="7"/>
    </row>
    <row r="64" spans="4:5">
      <c r="D64" s="7"/>
      <c r="E64" s="7"/>
    </row>
    <row r="65" spans="4:5">
      <c r="D65" s="7"/>
      <c r="E65" s="7"/>
    </row>
    <row r="66" spans="4:5">
      <c r="D66" s="7"/>
      <c r="E66" s="7"/>
    </row>
    <row r="67" spans="4:5">
      <c r="D67" s="7"/>
      <c r="E67" s="7"/>
    </row>
    <row r="68" spans="4:5">
      <c r="D68" s="7"/>
      <c r="E68" s="7"/>
    </row>
    <row r="69" spans="4:5">
      <c r="D69" s="7"/>
      <c r="E69" s="7"/>
    </row>
    <row r="70" spans="4:5">
      <c r="D70" s="7"/>
      <c r="E70" s="7"/>
    </row>
    <row r="71" spans="4:5">
      <c r="D71" s="7"/>
      <c r="E71" s="7"/>
    </row>
    <row r="72" spans="4:5">
      <c r="D72" s="7"/>
      <c r="E72" s="7"/>
    </row>
    <row r="73" spans="4:5">
      <c r="D73" s="7"/>
      <c r="E73" s="7"/>
    </row>
    <row r="74" spans="4:5">
      <c r="D74" s="7"/>
      <c r="E74" s="7"/>
    </row>
    <row r="75" spans="4:5">
      <c r="D75" s="7"/>
      <c r="E75" s="7"/>
    </row>
    <row r="76" spans="4:5">
      <c r="D76" s="7"/>
      <c r="E76" s="7"/>
    </row>
    <row r="77" spans="4:5">
      <c r="D77" s="7"/>
      <c r="E77" s="7"/>
    </row>
    <row r="78" spans="4:5">
      <c r="D78" s="7"/>
      <c r="E78" s="7"/>
    </row>
    <row r="79" spans="4:5">
      <c r="D79" s="7"/>
      <c r="E79" s="7"/>
    </row>
    <row r="80" spans="4:5">
      <c r="D80" s="7"/>
      <c r="E80" s="7"/>
    </row>
    <row r="81" spans="4:5">
      <c r="D81" s="7"/>
      <c r="E81" s="7"/>
    </row>
    <row r="82" spans="4:5">
      <c r="D82" s="7"/>
      <c r="E82" s="7"/>
    </row>
    <row r="83" spans="4:5">
      <c r="D83" s="7"/>
      <c r="E83" s="7"/>
    </row>
    <row r="84" spans="4:5">
      <c r="D84" s="7"/>
      <c r="E84" s="7"/>
    </row>
    <row r="85" spans="4:5">
      <c r="D85" s="7"/>
      <c r="E85" s="7"/>
    </row>
    <row r="86" spans="4:5">
      <c r="D86" s="7"/>
      <c r="E86" s="7"/>
    </row>
    <row r="87" spans="4:5">
      <c r="D87" s="7"/>
      <c r="E87" s="7"/>
    </row>
    <row r="88" spans="4:5">
      <c r="D88" s="7"/>
      <c r="E88" s="7"/>
    </row>
    <row r="89" spans="4:5">
      <c r="D89" s="7"/>
      <c r="E89" s="7"/>
    </row>
    <row r="90" spans="4:5">
      <c r="D90" s="7"/>
      <c r="E90" s="7"/>
    </row>
    <row r="91" spans="4:5">
      <c r="D91" s="7"/>
      <c r="E91" s="7"/>
    </row>
    <row r="92" spans="4:5">
      <c r="D92" s="7"/>
      <c r="E92" s="7"/>
    </row>
    <row r="93" spans="4:5">
      <c r="D93" s="7"/>
      <c r="E93" s="7"/>
    </row>
    <row r="94" spans="4:5">
      <c r="D94" s="7"/>
      <c r="E94" s="7"/>
    </row>
    <row r="95" spans="4:5">
      <c r="D95" s="7"/>
      <c r="E95" s="7"/>
    </row>
    <row r="96" spans="4:5">
      <c r="D96" s="7"/>
      <c r="E96" s="7"/>
    </row>
    <row r="97" spans="4:5">
      <c r="D97" s="7"/>
      <c r="E97" s="7"/>
    </row>
    <row r="98" spans="4:5">
      <c r="D98" s="7"/>
      <c r="E98" s="7"/>
    </row>
    <row r="99" spans="4:5">
      <c r="D99" s="7"/>
      <c r="E99" s="7"/>
    </row>
    <row r="100" spans="4:5">
      <c r="D100" s="7"/>
      <c r="E100" s="7"/>
    </row>
    <row r="101" spans="4:5">
      <c r="D101" s="7"/>
      <c r="E101" s="7"/>
    </row>
    <row r="102" spans="4:5">
      <c r="D102" s="7"/>
      <c r="E102" s="7"/>
    </row>
    <row r="103" spans="4:5">
      <c r="D103" s="7"/>
      <c r="E103" s="7"/>
    </row>
    <row r="104" spans="4:5">
      <c r="D104" s="7"/>
      <c r="E104" s="7"/>
    </row>
    <row r="105" spans="4:5">
      <c r="D105" s="7"/>
      <c r="E105" s="7"/>
    </row>
    <row r="106" spans="4:5">
      <c r="D106" s="7"/>
      <c r="E106" s="7"/>
    </row>
    <row r="107" spans="4:5">
      <c r="D107" s="7"/>
      <c r="E107" s="7"/>
    </row>
    <row r="108" spans="4:5">
      <c r="D108" s="7"/>
      <c r="E108" s="7"/>
    </row>
    <row r="109" spans="4:5">
      <c r="D109" s="7"/>
      <c r="E109" s="7"/>
    </row>
  </sheetData>
  <mergeCells count="2">
    <mergeCell ref="A1:G2"/>
    <mergeCell ref="A3:G3"/>
  </mergeCells>
  <dataValidations count="1">
    <dataValidation type="decimal" operator="greaterThanOrEqual" sqref="D11:E109" xr:uid="{00000000-0002-0000-0400-000001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LISTAS!$F$2:$F$8</xm:f>
          </x14:formula1>
          <xm:sqref>A11:A109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9"/>
  <sheetViews>
    <sheetView workbookViewId="0"/>
  </sheetViews>
  <sheetFormatPr defaultRowHeight="14"/>
  <cols>
    <col min="1" max="6" width="19" customWidth="1"/>
    <col min="7" max="7" width="30" customWidth="1"/>
  </cols>
  <sheetData>
    <row r="1" spans="1:15" ht="16" customHeight="1">
      <c r="A1" s="9" t="s">
        <v>62</v>
      </c>
      <c r="B1" s="9"/>
      <c r="C1" s="9"/>
      <c r="D1" s="9"/>
      <c r="E1" s="9"/>
      <c r="F1" s="9"/>
      <c r="G1" s="9"/>
      <c r="H1" s="8"/>
      <c r="I1" s="8"/>
      <c r="J1" s="8"/>
      <c r="K1" s="8"/>
      <c r="L1" s="8"/>
      <c r="M1" s="8"/>
      <c r="N1" s="8"/>
      <c r="O1" s="8"/>
    </row>
    <row r="2" spans="1:15" ht="16" customHeight="1">
      <c r="A2" s="10"/>
      <c r="B2" s="10"/>
      <c r="C2" s="10"/>
      <c r="D2" s="10"/>
      <c r="E2" s="10"/>
      <c r="F2" s="10"/>
      <c r="G2" s="10"/>
    </row>
    <row r="3" spans="1:15" ht="16" customHeight="1">
      <c r="A3" s="11" t="s">
        <v>63</v>
      </c>
      <c r="B3" s="11"/>
      <c r="C3" s="11"/>
      <c r="D3" s="11"/>
      <c r="E3" s="11"/>
      <c r="F3" s="11"/>
      <c r="G3" s="11"/>
    </row>
    <row r="5" spans="1:15">
      <c r="A5" s="3" t="str">
        <f>HYPERLINK("#'INÍCIO'!A1","← VOLTAR AO MENU")</f>
        <v>← VOLTAR AO MENU</v>
      </c>
    </row>
    <row r="7" spans="1:15">
      <c r="A7" s="2" t="s">
        <v>4</v>
      </c>
      <c r="B7" s="2" t="s">
        <v>33</v>
      </c>
    </row>
    <row r="8" spans="1:15">
      <c r="A8" t="s">
        <v>64</v>
      </c>
      <c r="B8" s="7">
        <f>SUM(E11:E109)</f>
        <v>0</v>
      </c>
    </row>
    <row r="10" spans="1:15" ht="21.4" customHeight="1">
      <c r="A10" s="2" t="s">
        <v>65</v>
      </c>
      <c r="B10" s="2" t="s">
        <v>66</v>
      </c>
      <c r="C10" s="2" t="s">
        <v>48</v>
      </c>
      <c r="D10" s="2" t="s">
        <v>50</v>
      </c>
      <c r="E10" s="2" t="s">
        <v>67</v>
      </c>
      <c r="F10" s="2" t="s">
        <v>68</v>
      </c>
      <c r="G10" s="2" t="s">
        <v>42</v>
      </c>
    </row>
    <row r="11" spans="1:15">
      <c r="E11" s="7"/>
    </row>
    <row r="12" spans="1:15">
      <c r="E12" s="7"/>
    </row>
    <row r="13" spans="1:15">
      <c r="E13" s="7"/>
    </row>
    <row r="14" spans="1:15">
      <c r="E14" s="7"/>
    </row>
    <row r="15" spans="1:15">
      <c r="E15" s="7"/>
    </row>
    <row r="16" spans="1:15">
      <c r="E16" s="7"/>
    </row>
    <row r="17" spans="5:5">
      <c r="E17" s="7"/>
    </row>
    <row r="18" spans="5:5">
      <c r="E18" s="7"/>
    </row>
    <row r="19" spans="5:5">
      <c r="E19" s="7"/>
    </row>
    <row r="20" spans="5:5">
      <c r="E20" s="7"/>
    </row>
    <row r="21" spans="5:5">
      <c r="E21" s="7"/>
    </row>
    <row r="22" spans="5:5">
      <c r="E22" s="7"/>
    </row>
    <row r="23" spans="5:5">
      <c r="E23" s="7"/>
    </row>
    <row r="24" spans="5:5">
      <c r="E24" s="7"/>
    </row>
    <row r="25" spans="5:5">
      <c r="E25" s="7"/>
    </row>
    <row r="26" spans="5:5">
      <c r="E26" s="7"/>
    </row>
    <row r="27" spans="5:5">
      <c r="E27" s="7"/>
    </row>
    <row r="28" spans="5:5">
      <c r="E28" s="7"/>
    </row>
    <row r="29" spans="5:5">
      <c r="E29" s="7"/>
    </row>
    <row r="30" spans="5:5">
      <c r="E30" s="7"/>
    </row>
    <row r="31" spans="5:5">
      <c r="E31" s="7"/>
    </row>
    <row r="32" spans="5:5">
      <c r="E32" s="7"/>
    </row>
    <row r="33" spans="5:5">
      <c r="E33" s="7"/>
    </row>
    <row r="34" spans="5:5">
      <c r="E34" s="7"/>
    </row>
    <row r="35" spans="5:5">
      <c r="E35" s="7"/>
    </row>
    <row r="36" spans="5:5">
      <c r="E36" s="7"/>
    </row>
    <row r="37" spans="5:5">
      <c r="E37" s="7"/>
    </row>
    <row r="38" spans="5:5">
      <c r="E38" s="7"/>
    </row>
    <row r="39" spans="5:5">
      <c r="E39" s="7"/>
    </row>
    <row r="40" spans="5:5">
      <c r="E40" s="7"/>
    </row>
    <row r="41" spans="5:5">
      <c r="E41" s="7"/>
    </row>
    <row r="42" spans="5:5">
      <c r="E42" s="7"/>
    </row>
    <row r="43" spans="5:5">
      <c r="E43" s="7"/>
    </row>
    <row r="44" spans="5:5">
      <c r="E44" s="7"/>
    </row>
    <row r="45" spans="5:5">
      <c r="E45" s="7"/>
    </row>
    <row r="46" spans="5:5">
      <c r="E46" s="7"/>
    </row>
    <row r="47" spans="5:5">
      <c r="E47" s="7"/>
    </row>
    <row r="48" spans="5:5">
      <c r="E48" s="7"/>
    </row>
    <row r="49" spans="5:5">
      <c r="E49" s="7"/>
    </row>
    <row r="50" spans="5:5">
      <c r="E50" s="7"/>
    </row>
    <row r="51" spans="5:5">
      <c r="E51" s="7"/>
    </row>
    <row r="52" spans="5:5">
      <c r="E52" s="7"/>
    </row>
    <row r="53" spans="5:5">
      <c r="E53" s="7"/>
    </row>
    <row r="54" spans="5:5">
      <c r="E54" s="7"/>
    </row>
    <row r="55" spans="5:5">
      <c r="E55" s="7"/>
    </row>
    <row r="56" spans="5:5">
      <c r="E56" s="7"/>
    </row>
    <row r="57" spans="5:5">
      <c r="E57" s="7"/>
    </row>
    <row r="58" spans="5:5">
      <c r="E58" s="7"/>
    </row>
    <row r="59" spans="5:5">
      <c r="E59" s="7"/>
    </row>
    <row r="60" spans="5:5">
      <c r="E60" s="7"/>
    </row>
    <row r="61" spans="5:5">
      <c r="E61" s="7"/>
    </row>
    <row r="62" spans="5:5">
      <c r="E62" s="7"/>
    </row>
    <row r="63" spans="5:5">
      <c r="E63" s="7"/>
    </row>
    <row r="64" spans="5:5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  <row r="75" spans="5:5">
      <c r="E75" s="7"/>
    </row>
    <row r="76" spans="5:5">
      <c r="E76" s="7"/>
    </row>
    <row r="77" spans="5:5">
      <c r="E77" s="7"/>
    </row>
    <row r="78" spans="5:5">
      <c r="E78" s="7"/>
    </row>
    <row r="79" spans="5:5">
      <c r="E79" s="7"/>
    </row>
    <row r="80" spans="5:5">
      <c r="E80" s="7"/>
    </row>
    <row r="81" spans="5:5">
      <c r="E81" s="7"/>
    </row>
    <row r="82" spans="5:5">
      <c r="E82" s="7"/>
    </row>
    <row r="83" spans="5:5">
      <c r="E83" s="7"/>
    </row>
    <row r="84" spans="5:5">
      <c r="E84" s="7"/>
    </row>
    <row r="85" spans="5:5">
      <c r="E85" s="7"/>
    </row>
    <row r="86" spans="5:5">
      <c r="E86" s="7"/>
    </row>
    <row r="87" spans="5:5">
      <c r="E87" s="7"/>
    </row>
    <row r="88" spans="5:5">
      <c r="E88" s="7"/>
    </row>
    <row r="89" spans="5:5">
      <c r="E89" s="7"/>
    </row>
    <row r="90" spans="5:5">
      <c r="E90" s="7"/>
    </row>
    <row r="91" spans="5:5">
      <c r="E91" s="7"/>
    </row>
    <row r="92" spans="5:5">
      <c r="E92" s="7"/>
    </row>
    <row r="93" spans="5:5">
      <c r="E93" s="7"/>
    </row>
    <row r="94" spans="5:5">
      <c r="E94" s="7"/>
    </row>
    <row r="95" spans="5:5">
      <c r="E95" s="7"/>
    </row>
    <row r="96" spans="5:5">
      <c r="E96" s="7"/>
    </row>
    <row r="97" spans="5:5">
      <c r="E97" s="7"/>
    </row>
    <row r="98" spans="5:5">
      <c r="E98" s="7"/>
    </row>
    <row r="99" spans="5:5">
      <c r="E99" s="7"/>
    </row>
    <row r="100" spans="5:5">
      <c r="E100" s="7"/>
    </row>
    <row r="101" spans="5:5">
      <c r="E101" s="7"/>
    </row>
    <row r="102" spans="5:5">
      <c r="E102" s="7"/>
    </row>
    <row r="103" spans="5:5">
      <c r="E103" s="7"/>
    </row>
    <row r="104" spans="5:5">
      <c r="E104" s="7"/>
    </row>
    <row r="105" spans="5:5">
      <c r="E105" s="7"/>
    </row>
    <row r="106" spans="5:5">
      <c r="E106" s="7"/>
    </row>
    <row r="107" spans="5:5">
      <c r="E107" s="7"/>
    </row>
    <row r="108" spans="5:5">
      <c r="E108" s="7"/>
    </row>
    <row r="109" spans="5:5">
      <c r="E109" s="7"/>
    </row>
  </sheetData>
  <mergeCells count="2">
    <mergeCell ref="A1:G2"/>
    <mergeCell ref="A3:G3"/>
  </mergeCells>
  <dataValidations count="1">
    <dataValidation type="decimal" operator="greaterThanOrEqual" sqref="E11:E109" xr:uid="{00000000-0002-0000-0500-000002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LISTAS!$G$2:$G$8</xm:f>
          </x14:formula1>
          <xm:sqref>A11:A109</xm:sqref>
        </x14:dataValidation>
        <x14:dataValidation type="list" xr:uid="{00000000-0002-0000-0500-000001000000}">
          <x14:formula1>
            <xm:f>LISTAS!$C$2:$C$3</xm:f>
          </x14:formula1>
          <xm:sqref>F11:F109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5"/>
  <sheetViews>
    <sheetView workbookViewId="0"/>
  </sheetViews>
  <sheetFormatPr defaultRowHeight="14"/>
  <cols>
    <col min="1" max="12" width="16" customWidth="1"/>
  </cols>
  <sheetData>
    <row r="1" spans="1:15" ht="16" customHeight="1">
      <c r="A1" s="9" t="s">
        <v>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8"/>
      <c r="N1" s="8"/>
      <c r="O1" s="8"/>
    </row>
    <row r="2" spans="1:15" ht="16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 ht="16" customHeight="1">
      <c r="A3" s="11" t="s">
        <v>70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1:15">
      <c r="A5" s="3" t="str">
        <f>HYPERLINK("#'INÍCIO'!A1","← VOLTAR AO MENU")</f>
        <v>← VOLTAR AO MENU</v>
      </c>
    </row>
    <row r="7" spans="1:15" ht="18.649999999999999" customHeight="1">
      <c r="A7" s="23" t="str">
        <f>"Total de informes"&amp;CHAR(10)&amp;COUNTIF(INFORMES!A11:A109,"&lt;&gt;")</f>
        <v>Total de informes
0</v>
      </c>
      <c r="B7" s="24"/>
      <c r="C7" s="25"/>
      <c r="E7" s="23" t="str">
        <f>"Total de rendimentos"&amp;CHAR(10)&amp;TEXT(SUM(RENDIMENTOS!E11:E159),"R$ #,##0.00")</f>
        <v>Total de rendimentos
R$ ,000</v>
      </c>
      <c r="F7" s="24"/>
      <c r="G7" s="25"/>
      <c r="I7" s="23" t="str">
        <f>"Imposto retido"&amp;CHAR(10)&amp;TEXT(SUM(RENDIMENTOS!F11:F159),"R$ #,##0.00")</f>
        <v>Imposto retido
R$ ,000</v>
      </c>
      <c r="J7" s="24"/>
      <c r="K7" s="25"/>
    </row>
    <row r="8" spans="1:15" ht="18.649999999999999" customHeight="1">
      <c r="A8" s="26"/>
      <c r="B8" s="27"/>
      <c r="C8" s="28"/>
      <c r="E8" s="26"/>
      <c r="F8" s="27"/>
      <c r="G8" s="28"/>
      <c r="I8" s="26"/>
      <c r="J8" s="27"/>
      <c r="K8" s="28"/>
    </row>
    <row r="9" spans="1:15" ht="18.649999999999999" customHeight="1">
      <c r="A9" s="29"/>
      <c r="B9" s="30"/>
      <c r="C9" s="31"/>
      <c r="E9" s="29"/>
      <c r="F9" s="30"/>
      <c r="G9" s="31"/>
      <c r="I9" s="29"/>
      <c r="J9" s="30"/>
      <c r="K9" s="31"/>
    </row>
    <row r="10" spans="1:15" ht="18.649999999999999" customHeight="1"/>
    <row r="11" spans="1:15" ht="18.649999999999999" customHeight="1">
      <c r="A11" s="23" t="str">
        <f>"Patrimônio atual"&amp;CHAR(10)&amp;TEXT(SUM(BENS_DIREITOS!E11:E109),"R$ #,##0.00")</f>
        <v>Patrimônio atual
R$ ,000</v>
      </c>
      <c r="B11" s="24"/>
      <c r="C11" s="25"/>
      <c r="E11" s="23" t="str">
        <f>"Variação patrimonial"&amp;CHAR(10)&amp;TEXT(SUM(BENS_DIREITOS!E11:E109)-SUM(BENS_DIREITOS!D11:D109),"R$ #,##0.00")</f>
        <v>Variação patrimonial
R$ ,000</v>
      </c>
      <c r="F11" s="24"/>
      <c r="G11" s="25"/>
      <c r="I11" s="23" t="str">
        <f>"Total de pagamentos"&amp;CHAR(10)&amp;TEXT(SUM(PAGAMENTOS!E11:E109),"R$ #,##0.00")</f>
        <v>Total de pagamentos
R$ ,000</v>
      </c>
      <c r="J11" s="24"/>
      <c r="K11" s="25"/>
    </row>
    <row r="12" spans="1:15" ht="18.649999999999999" customHeight="1">
      <c r="A12" s="26"/>
      <c r="B12" s="27"/>
      <c r="C12" s="28"/>
      <c r="E12" s="26"/>
      <c r="F12" s="27"/>
      <c r="G12" s="28"/>
      <c r="I12" s="26"/>
      <c r="J12" s="27"/>
      <c r="K12" s="28"/>
    </row>
    <row r="13" spans="1:15" ht="18.649999999999999" customHeight="1">
      <c r="A13" s="29"/>
      <c r="B13" s="30"/>
      <c r="C13" s="31"/>
      <c r="E13" s="29"/>
      <c r="F13" s="30"/>
      <c r="G13" s="31"/>
      <c r="I13" s="29"/>
      <c r="J13" s="30"/>
      <c r="K13" s="31"/>
    </row>
    <row r="16" spans="1:15">
      <c r="A16" s="12" t="s">
        <v>71</v>
      </c>
      <c r="B16" s="12"/>
      <c r="C16" s="12"/>
      <c r="D16" s="12"/>
      <c r="E16" s="12"/>
      <c r="F16" s="12"/>
    </row>
    <row r="18" spans="1:5">
      <c r="A18" s="2" t="s">
        <v>72</v>
      </c>
      <c r="B18" s="2" t="s">
        <v>73</v>
      </c>
      <c r="D18" s="2" t="s">
        <v>72</v>
      </c>
      <c r="E18" s="2" t="s">
        <v>73</v>
      </c>
    </row>
    <row r="19" spans="1:5">
      <c r="A19" t="s">
        <v>74</v>
      </c>
      <c r="B19" t="str">
        <f>IF(COUNTA(DADOS_PESSOAIS!B7:B24)&gt;=8,"OK","PENDENTE")</f>
        <v>PENDENTE</v>
      </c>
      <c r="D19" t="s">
        <v>75</v>
      </c>
      <c r="E19" t="str">
        <f>IF(COUNTIF(PAGAMENTOS!A11:A109,"&lt;&gt;")&gt;0,"OK","PENDENTE")</f>
        <v>PENDENTE</v>
      </c>
    </row>
    <row r="20" spans="1:5">
      <c r="A20" t="s">
        <v>76</v>
      </c>
      <c r="B20" t="str">
        <f>IF(COUNTIF(INFORMES!A11:A109,"&lt;&gt;")&gt;0,"OK","PENDENTE")</f>
        <v>PENDENTE</v>
      </c>
    </row>
    <row r="21" spans="1:5">
      <c r="A21" t="s">
        <v>77</v>
      </c>
      <c r="B21" t="str">
        <f>IF(COUNTIF(RENDIMENTOS!A11:A159,"&lt;&gt;")&gt;0,"OK","PENDENTE")</f>
        <v>PENDENTE</v>
      </c>
    </row>
    <row r="22" spans="1:5">
      <c r="A22" t="s">
        <v>78</v>
      </c>
      <c r="B22" t="str">
        <f>IF(COUNTIF(BENS_DIREITOS!A11:A109,"&lt;&gt;")&gt;0,"OK","PENDENTE")</f>
        <v>PENDENTE</v>
      </c>
    </row>
    <row r="26" spans="1:5">
      <c r="A26" s="2" t="s">
        <v>49</v>
      </c>
      <c r="B26" s="2" t="s">
        <v>79</v>
      </c>
      <c r="D26" s="2" t="s">
        <v>49</v>
      </c>
      <c r="E26" s="2" t="s">
        <v>80</v>
      </c>
    </row>
    <row r="27" spans="1:5">
      <c r="A27" t="s">
        <v>81</v>
      </c>
      <c r="B27" s="7">
        <f>SUMIF(RENDIMENTOS!$C$11:$C$159,A27,RENDIMENTOS!$E$11:$E$159)</f>
        <v>0</v>
      </c>
      <c r="D27" t="s">
        <v>82</v>
      </c>
      <c r="E27" s="7">
        <f>SUMIF(BENS_DIREITOS!$A$11:$A$109,D27,BENS_DIREITOS!$E$11:$E$109)</f>
        <v>0</v>
      </c>
    </row>
    <row r="28" spans="1:5">
      <c r="A28" t="s">
        <v>83</v>
      </c>
      <c r="B28" s="7">
        <f>SUMIF(RENDIMENTOS!$C$11:$C$159,A28,RENDIMENTOS!$E$11:$E$159)</f>
        <v>0</v>
      </c>
      <c r="D28" t="s">
        <v>84</v>
      </c>
      <c r="E28" s="7">
        <f>SUMIF(BENS_DIREITOS!$A$11:$A$109,D28,BENS_DIREITOS!$E$11:$E$109)</f>
        <v>0</v>
      </c>
    </row>
    <row r="29" spans="1:5">
      <c r="A29" t="s">
        <v>85</v>
      </c>
      <c r="B29" s="7">
        <f>SUMIF(RENDIMENTOS!$C$11:$C$159,A29,RENDIMENTOS!$E$11:$E$159)</f>
        <v>0</v>
      </c>
      <c r="D29" t="s">
        <v>86</v>
      </c>
      <c r="E29" s="7">
        <f>SUMIF(BENS_DIREITOS!$A$11:$A$109,D29,BENS_DIREITOS!$E$11:$E$109)</f>
        <v>0</v>
      </c>
    </row>
    <row r="30" spans="1:5">
      <c r="A30" t="s">
        <v>87</v>
      </c>
      <c r="B30" s="7">
        <f>SUMIF(RENDIMENTOS!$C$11:$C$159,A30,RENDIMENTOS!$E$11:$E$159)</f>
        <v>0</v>
      </c>
      <c r="D30" t="s">
        <v>88</v>
      </c>
      <c r="E30" s="7">
        <f>SUMIF(BENS_DIREITOS!$A$11:$A$109,D30,BENS_DIREITOS!$E$11:$E$109)</f>
        <v>0</v>
      </c>
    </row>
    <row r="31" spans="1:5">
      <c r="A31" t="s">
        <v>89</v>
      </c>
      <c r="B31" s="7">
        <f>SUMIF(RENDIMENTOS!$C$11:$C$159,A31,RENDIMENTOS!$E$11:$E$159)</f>
        <v>0</v>
      </c>
      <c r="D31" t="s">
        <v>90</v>
      </c>
      <c r="E31" s="7">
        <f>SUMIF(BENS_DIREITOS!$A$11:$A$109,D31,BENS_DIREITOS!$E$11:$E$109)</f>
        <v>0</v>
      </c>
    </row>
    <row r="32" spans="1:5">
      <c r="A32" t="s">
        <v>91</v>
      </c>
      <c r="B32" s="7">
        <f>SUMIF(RENDIMENTOS!$C$11:$C$159,A32,RENDIMENTOS!$E$11:$E$159)</f>
        <v>0</v>
      </c>
      <c r="D32" t="s">
        <v>92</v>
      </c>
      <c r="E32" s="7">
        <f>SUMIF(BENS_DIREITOS!$A$11:$A$109,D32,BENS_DIREITOS!$E$11:$E$109)</f>
        <v>0</v>
      </c>
    </row>
    <row r="33" spans="1:5">
      <c r="A33" t="s">
        <v>93</v>
      </c>
      <c r="B33" s="7">
        <f>SUMIF(RENDIMENTOS!$C$11:$C$159,A33,RENDIMENTOS!$E$11:$E$159)</f>
        <v>0</v>
      </c>
      <c r="D33" t="s">
        <v>94</v>
      </c>
      <c r="E33" s="7">
        <f>SUMIF(BENS_DIREITOS!$A$11:$A$109,D33,BENS_DIREITOS!$E$11:$E$109)</f>
        <v>0</v>
      </c>
    </row>
    <row r="34" spans="1:5">
      <c r="A34" t="s">
        <v>95</v>
      </c>
      <c r="B34" s="7">
        <f>SUMIF(RENDIMENTOS!$C$11:$C$159,A34,RENDIMENTOS!$E$11:$E$159)</f>
        <v>0</v>
      </c>
    </row>
    <row r="35" spans="1:5">
      <c r="A35" t="s">
        <v>94</v>
      </c>
      <c r="B35" s="7">
        <f>SUMIF(RENDIMENTOS!$C$11:$C$159,A35,RENDIMENTOS!$E$11:$E$159)</f>
        <v>0</v>
      </c>
    </row>
  </sheetData>
  <mergeCells count="9">
    <mergeCell ref="A11:C13"/>
    <mergeCell ref="E11:G13"/>
    <mergeCell ref="I11:K13"/>
    <mergeCell ref="A16:F16"/>
    <mergeCell ref="A1:L2"/>
    <mergeCell ref="A3:L3"/>
    <mergeCell ref="A7:C9"/>
    <mergeCell ref="E7:G9"/>
    <mergeCell ref="I7:K9"/>
  </mergeCells>
  <conditionalFormatting sqref="B19:B22">
    <cfRule type="expression" dxfId="3" priority="1">
      <formula>B19="OK"</formula>
    </cfRule>
    <cfRule type="expression" dxfId="2" priority="2">
      <formula>B19="PENDENTE"</formula>
    </cfRule>
  </conditionalFormatting>
  <conditionalFormatting sqref="E19">
    <cfRule type="expression" dxfId="1" priority="3">
      <formula>E19="OK"</formula>
    </cfRule>
    <cfRule type="expression" dxfId="0" priority="4">
      <formula>E19="PENDENTE"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defaultRowHeight="14"/>
  <cols>
    <col min="1" max="7" width="24" customWidth="1"/>
  </cols>
  <sheetData>
    <row r="1" spans="1:7">
      <c r="A1" s="1" t="s">
        <v>25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>
      <c r="A2" t="s">
        <v>102</v>
      </c>
      <c r="B2" t="s">
        <v>103</v>
      </c>
      <c r="C2" t="s">
        <v>104</v>
      </c>
      <c r="D2" t="s">
        <v>105</v>
      </c>
      <c r="E2" t="s">
        <v>81</v>
      </c>
      <c r="F2" t="s">
        <v>82</v>
      </c>
      <c r="G2" t="s">
        <v>106</v>
      </c>
    </row>
    <row r="3" spans="1:7">
      <c r="A3" t="s">
        <v>107</v>
      </c>
      <c r="B3" t="s">
        <v>108</v>
      </c>
      <c r="C3" t="s">
        <v>109</v>
      </c>
      <c r="D3" t="s">
        <v>110</v>
      </c>
      <c r="E3" t="s">
        <v>83</v>
      </c>
      <c r="F3" t="s">
        <v>84</v>
      </c>
      <c r="G3" t="s">
        <v>111</v>
      </c>
    </row>
    <row r="4" spans="1:7">
      <c r="A4" t="s">
        <v>112</v>
      </c>
      <c r="B4" t="s">
        <v>113</v>
      </c>
      <c r="D4" t="s">
        <v>114</v>
      </c>
      <c r="E4" t="s">
        <v>85</v>
      </c>
      <c r="F4" t="s">
        <v>86</v>
      </c>
      <c r="G4" t="s">
        <v>115</v>
      </c>
    </row>
    <row r="5" spans="1:7">
      <c r="A5" t="s">
        <v>116</v>
      </c>
      <c r="B5" t="s">
        <v>117</v>
      </c>
      <c r="D5" t="s">
        <v>115</v>
      </c>
      <c r="E5" t="s">
        <v>87</v>
      </c>
      <c r="F5" t="s">
        <v>88</v>
      </c>
      <c r="G5" t="s">
        <v>118</v>
      </c>
    </row>
    <row r="6" spans="1:7">
      <c r="A6" t="s">
        <v>119</v>
      </c>
      <c r="B6" t="s">
        <v>120</v>
      </c>
      <c r="D6" t="s">
        <v>121</v>
      </c>
      <c r="E6" t="s">
        <v>89</v>
      </c>
      <c r="F6" t="s">
        <v>90</v>
      </c>
      <c r="G6" t="s">
        <v>122</v>
      </c>
    </row>
    <row r="7" spans="1:7">
      <c r="A7" t="s">
        <v>123</v>
      </c>
      <c r="B7" t="s">
        <v>124</v>
      </c>
      <c r="D7" t="s">
        <v>94</v>
      </c>
      <c r="E7" t="s">
        <v>91</v>
      </c>
      <c r="F7" t="s">
        <v>92</v>
      </c>
      <c r="G7" t="s">
        <v>125</v>
      </c>
    </row>
    <row r="8" spans="1:7">
      <c r="A8" t="s">
        <v>126</v>
      </c>
      <c r="E8" t="s">
        <v>93</v>
      </c>
      <c r="F8" t="s">
        <v>94</v>
      </c>
      <c r="G8" t="s">
        <v>94</v>
      </c>
    </row>
    <row r="9" spans="1:7">
      <c r="A9" t="s">
        <v>127</v>
      </c>
      <c r="E9" t="s">
        <v>95</v>
      </c>
    </row>
    <row r="10" spans="1:7">
      <c r="A10" t="s">
        <v>128</v>
      </c>
      <c r="E10" t="s">
        <v>94</v>
      </c>
    </row>
    <row r="11" spans="1:7">
      <c r="A11" t="s">
        <v>129</v>
      </c>
    </row>
    <row r="12" spans="1:7">
      <c r="A12" t="s">
        <v>130</v>
      </c>
    </row>
    <row r="13" spans="1:7">
      <c r="A13" t="s">
        <v>131</v>
      </c>
    </row>
    <row r="14" spans="1:7">
      <c r="A14" t="s">
        <v>132</v>
      </c>
    </row>
    <row r="15" spans="1:7">
      <c r="A15" t="s">
        <v>133</v>
      </c>
    </row>
    <row r="16" spans="1:7">
      <c r="A16" t="s">
        <v>134</v>
      </c>
    </row>
    <row r="17" spans="1:1">
      <c r="A17" t="s">
        <v>135</v>
      </c>
    </row>
    <row r="18" spans="1:1">
      <c r="A18" t="s">
        <v>136</v>
      </c>
    </row>
    <row r="19" spans="1:1">
      <c r="A19" t="s">
        <v>137</v>
      </c>
    </row>
    <row r="20" spans="1:1">
      <c r="A20" t="s">
        <v>138</v>
      </c>
    </row>
    <row r="21" spans="1:1">
      <c r="A21" t="s">
        <v>139</v>
      </c>
    </row>
    <row r="22" spans="1:1">
      <c r="A22" t="s">
        <v>140</v>
      </c>
    </row>
    <row r="23" spans="1:1">
      <c r="A23" t="s">
        <v>141</v>
      </c>
    </row>
    <row r="24" spans="1:1">
      <c r="A24" t="s">
        <v>142</v>
      </c>
    </row>
    <row r="25" spans="1:1">
      <c r="A25" t="s">
        <v>143</v>
      </c>
    </row>
    <row r="26" spans="1:1">
      <c r="A26" t="s">
        <v>144</v>
      </c>
    </row>
    <row r="27" spans="1:1">
      <c r="A27" t="s">
        <v>145</v>
      </c>
    </row>
    <row r="28" spans="1:1">
      <c r="A28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INÍCIO</vt:lpstr>
      <vt:lpstr>DADOS_PESSOAIS</vt:lpstr>
      <vt:lpstr>INFORMES</vt:lpstr>
      <vt:lpstr>RENDIMENTOS</vt:lpstr>
      <vt:lpstr>BENS_DIREITOS</vt:lpstr>
      <vt:lpstr>PAGAMENTOS</vt:lpstr>
      <vt:lpstr>RESUMO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MATHEUS DE HOLANDA CARNELOSSO</cp:lastModifiedBy>
  <dcterms:modified xsi:type="dcterms:W3CDTF">2026-09-17T21:29:45Z</dcterms:modified>
</cp:coreProperties>
</file>